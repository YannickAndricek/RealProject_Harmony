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ol0\OneDrive\Studium\Business Plan\"/>
    </mc:Choice>
  </mc:AlternateContent>
  <xr:revisionPtr revIDLastSave="0" documentId="13_ncr:1_{16A82CD2-B9EF-480A-A89F-CDED8E45CAE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nL" sheetId="12" r:id="rId1"/>
    <sheet name="Input" sheetId="14" r:id="rId2"/>
    <sheet name="Guide" sheetId="11" r:id="rId3"/>
    <sheet name="Cashflow" sheetId="7" state="hidden" r:id="rId4"/>
    <sheet name="Bilanz" sheetId="8" state="hidden" r:id="rId5"/>
  </sheets>
  <externalReferences>
    <externalReference r:id="rId6"/>
  </externalReferences>
  <definedNames>
    <definedName name="Cons_end">[1]Assumptions!$E$9</definedName>
    <definedName name="Cons_start">[1]Assumptions!$E$7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Model_Start">[1]Assumptions!$E$5</definedName>
    <definedName name="Mths_in_Qtr">[1]Assumptions!$E$16</definedName>
    <definedName name="Mths_in_Yr">[1]Assumptions!$E$19</definedName>
    <definedName name="Ops_end">[1]Assumptions!$E$13</definedName>
    <definedName name="Ops_start">[1]Assumptions!$E$11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2" l="1"/>
  <c r="D49" i="12"/>
  <c r="D44" i="12"/>
  <c r="D45" i="12"/>
  <c r="E3" i="12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D23" i="12"/>
  <c r="D9" i="12"/>
  <c r="D11" i="12" s="1"/>
  <c r="E15" i="12"/>
  <c r="F15" i="12" s="1"/>
  <c r="G15" i="12" s="1"/>
  <c r="H15" i="12" s="1"/>
  <c r="I15" i="12" s="1"/>
  <c r="J15" i="12" s="1"/>
  <c r="K15" i="12" s="1"/>
  <c r="L15" i="12" s="1"/>
  <c r="M15" i="12" s="1"/>
  <c r="N15" i="12" s="1"/>
  <c r="O15" i="12" s="1"/>
  <c r="P15" i="12" s="1"/>
  <c r="Q15" i="12" s="1"/>
  <c r="R15" i="12" s="1"/>
  <c r="S15" i="12" s="1"/>
  <c r="T15" i="12" s="1"/>
  <c r="U15" i="12" s="1"/>
  <c r="V15" i="12" s="1"/>
  <c r="W15" i="12" s="1"/>
  <c r="X15" i="12" s="1"/>
  <c r="Y15" i="12" s="1"/>
  <c r="Z15" i="12" s="1"/>
  <c r="AA15" i="12" s="1"/>
  <c r="E7" i="12"/>
  <c r="E23" i="12" s="1"/>
  <c r="D17" i="12"/>
  <c r="Q28" i="12"/>
  <c r="Q29" i="12" s="1"/>
  <c r="P21" i="12"/>
  <c r="AA33" i="12"/>
  <c r="AA34" i="12" s="1"/>
  <c r="Z33" i="12"/>
  <c r="Z34" i="12" s="1"/>
  <c r="Y33" i="12"/>
  <c r="Y34" i="12" s="1"/>
  <c r="X33" i="12"/>
  <c r="X34" i="12" s="1"/>
  <c r="W33" i="12"/>
  <c r="W34" i="12" s="1"/>
  <c r="V33" i="12"/>
  <c r="V34" i="12" s="1"/>
  <c r="U33" i="12"/>
  <c r="U34" i="12" s="1"/>
  <c r="T33" i="12"/>
  <c r="T34" i="12" s="1"/>
  <c r="S33" i="12"/>
  <c r="S34" i="12" s="1"/>
  <c r="R33" i="12"/>
  <c r="R34" i="12" s="1"/>
  <c r="Q33" i="12"/>
  <c r="Q34" i="12" s="1"/>
  <c r="P33" i="12"/>
  <c r="P34" i="12" s="1"/>
  <c r="O33" i="12"/>
  <c r="O34" i="12" s="1"/>
  <c r="N33" i="12"/>
  <c r="N34" i="12" s="1"/>
  <c r="M33" i="12"/>
  <c r="M34" i="12" s="1"/>
  <c r="L33" i="12"/>
  <c r="L34" i="12" s="1"/>
  <c r="K33" i="12"/>
  <c r="K34" i="12" s="1"/>
  <c r="J33" i="12"/>
  <c r="J34" i="12" s="1"/>
  <c r="I33" i="12"/>
  <c r="I34" i="12" s="1"/>
  <c r="H33" i="12"/>
  <c r="H34" i="12" s="1"/>
  <c r="G33" i="12"/>
  <c r="G34" i="12" s="1"/>
  <c r="F33" i="12"/>
  <c r="F34" i="12" s="1"/>
  <c r="E33" i="12"/>
  <c r="E34" i="12" s="1"/>
  <c r="D33" i="12"/>
  <c r="D34" i="12" s="1"/>
  <c r="AA28" i="12"/>
  <c r="AA29" i="12" s="1"/>
  <c r="Z28" i="12"/>
  <c r="Z29" i="12" s="1"/>
  <c r="Y28" i="12"/>
  <c r="Y29" i="12" s="1"/>
  <c r="X28" i="12"/>
  <c r="X29" i="12" s="1"/>
  <c r="W28" i="12"/>
  <c r="W29" i="12" s="1"/>
  <c r="V28" i="12"/>
  <c r="V29" i="12" s="1"/>
  <c r="U28" i="12"/>
  <c r="U29" i="12" s="1"/>
  <c r="T28" i="12"/>
  <c r="T29" i="12" s="1"/>
  <c r="S28" i="12"/>
  <c r="S29" i="12" s="1"/>
  <c r="R28" i="12"/>
  <c r="R29" i="12" s="1"/>
  <c r="P28" i="12"/>
  <c r="P29" i="12" s="1"/>
  <c r="O28" i="12"/>
  <c r="O29" i="12" s="1"/>
  <c r="N28" i="12"/>
  <c r="N29" i="12" s="1"/>
  <c r="M28" i="12"/>
  <c r="M29" i="12" s="1"/>
  <c r="L28" i="12"/>
  <c r="L29" i="12" s="1"/>
  <c r="K28" i="12"/>
  <c r="K29" i="12" s="1"/>
  <c r="J28" i="12"/>
  <c r="J29" i="12" s="1"/>
  <c r="I28" i="12"/>
  <c r="I29" i="12" s="1"/>
  <c r="H28" i="12"/>
  <c r="H29" i="12" s="1"/>
  <c r="G28" i="12"/>
  <c r="G29" i="12" s="1"/>
  <c r="F28" i="12"/>
  <c r="F29" i="12" s="1"/>
  <c r="E28" i="12"/>
  <c r="E29" i="12" s="1"/>
  <c r="D28" i="12"/>
  <c r="D29" i="12" s="1"/>
  <c r="E9" i="12" l="1"/>
  <c r="E17" i="12"/>
  <c r="F17" i="12"/>
  <c r="E11" i="12"/>
  <c r="F7" i="12"/>
  <c r="T35" i="12"/>
  <c r="Q35" i="12"/>
  <c r="M35" i="12"/>
  <c r="N35" i="12"/>
  <c r="O35" i="12"/>
  <c r="P35" i="12"/>
  <c r="R35" i="12"/>
  <c r="S35" i="12"/>
  <c r="J35" i="12"/>
  <c r="K35" i="12"/>
  <c r="Z35" i="12"/>
  <c r="AA35" i="12"/>
  <c r="L35" i="12"/>
  <c r="D35" i="12"/>
  <c r="D37" i="12" s="1"/>
  <c r="E35" i="12"/>
  <c r="U35" i="12"/>
  <c r="F35" i="12"/>
  <c r="V35" i="12"/>
  <c r="G35" i="12"/>
  <c r="W35" i="12"/>
  <c r="H35" i="12"/>
  <c r="X35" i="12"/>
  <c r="Y35" i="12"/>
  <c r="I35" i="12"/>
  <c r="D38" i="12" l="1"/>
  <c r="D40" i="12"/>
  <c r="F9" i="12"/>
  <c r="F23" i="12"/>
  <c r="E37" i="12"/>
  <c r="E40" i="12" s="1"/>
  <c r="G17" i="12"/>
  <c r="G7" i="12"/>
  <c r="G9" i="12" l="1"/>
  <c r="G23" i="12"/>
  <c r="E38" i="12"/>
  <c r="H17" i="12"/>
  <c r="F11" i="12"/>
  <c r="F37" i="12" s="1"/>
  <c r="F40" i="12" s="1"/>
  <c r="H7" i="12"/>
  <c r="H23" i="12" l="1"/>
  <c r="H9" i="12"/>
  <c r="F38" i="12"/>
  <c r="I17" i="12"/>
  <c r="I7" i="12"/>
  <c r="G11" i="12"/>
  <c r="G37" i="12" s="1"/>
  <c r="G40" i="12" s="1"/>
  <c r="G38" i="12" l="1"/>
  <c r="I23" i="12"/>
  <c r="I9" i="12"/>
  <c r="J17" i="12"/>
  <c r="H11" i="12"/>
  <c r="H37" i="12" s="1"/>
  <c r="H40" i="12" s="1"/>
  <c r="J7" i="12"/>
  <c r="J23" i="12" l="1"/>
  <c r="J9" i="12"/>
  <c r="H38" i="12"/>
  <c r="K17" i="12"/>
  <c r="I11" i="12"/>
  <c r="I37" i="12" s="1"/>
  <c r="I40" i="12" s="1"/>
  <c r="K7" i="12"/>
  <c r="K23" i="12" l="1"/>
  <c r="K9" i="12"/>
  <c r="I38" i="12"/>
  <c r="L17" i="12"/>
  <c r="L7" i="12"/>
  <c r="J11" i="12"/>
  <c r="J37" i="12" s="1"/>
  <c r="J40" i="12" s="1"/>
  <c r="L23" i="12" l="1"/>
  <c r="L9" i="12"/>
  <c r="J38" i="12"/>
  <c r="M17" i="12"/>
  <c r="K11" i="12"/>
  <c r="K37" i="12" s="1"/>
  <c r="K40" i="12" s="1"/>
  <c r="M7" i="12"/>
  <c r="M9" i="12" l="1"/>
  <c r="M23" i="12"/>
  <c r="K38" i="12"/>
  <c r="N17" i="12"/>
  <c r="L11" i="12"/>
  <c r="L37" i="12" s="1"/>
  <c r="L40" i="12" s="1"/>
  <c r="N7" i="12"/>
  <c r="N9" i="12" l="1"/>
  <c r="N23" i="12"/>
  <c r="L38" i="12"/>
  <c r="O17" i="12"/>
  <c r="M11" i="12"/>
  <c r="M37" i="12" s="1"/>
  <c r="M40" i="12" s="1"/>
  <c r="O7" i="12"/>
  <c r="M38" i="12" l="1"/>
  <c r="O9" i="12"/>
  <c r="O23" i="12"/>
  <c r="P17" i="12"/>
  <c r="N11" i="12"/>
  <c r="N37" i="12" s="1"/>
  <c r="N40" i="12" s="1"/>
  <c r="P7" i="12"/>
  <c r="P23" i="12" l="1"/>
  <c r="P9" i="12"/>
  <c r="N38" i="12"/>
  <c r="Q17" i="12"/>
  <c r="O11" i="12"/>
  <c r="O37" i="12" s="1"/>
  <c r="O40" i="12" s="1"/>
  <c r="Q7" i="12"/>
  <c r="O38" i="12" l="1"/>
  <c r="Q9" i="12"/>
  <c r="Q23" i="12"/>
  <c r="R17" i="12"/>
  <c r="P11" i="12"/>
  <c r="P37" i="12" s="1"/>
  <c r="P40" i="12" s="1"/>
  <c r="R7" i="12"/>
  <c r="R9" i="12" l="1"/>
  <c r="R23" i="12"/>
  <c r="P38" i="12"/>
  <c r="S17" i="12"/>
  <c r="Q11" i="12"/>
  <c r="Q37" i="12" s="1"/>
  <c r="Q40" i="12" s="1"/>
  <c r="S7" i="12"/>
  <c r="S9" i="12" l="1"/>
  <c r="S23" i="12"/>
  <c r="Q38" i="12"/>
  <c r="T17" i="12"/>
  <c r="R11" i="12"/>
  <c r="R37" i="12" s="1"/>
  <c r="R40" i="12" s="1"/>
  <c r="T7" i="12"/>
  <c r="T9" i="12" l="1"/>
  <c r="T23" i="12"/>
  <c r="R38" i="12"/>
  <c r="U17" i="12"/>
  <c r="S11" i="12"/>
  <c r="S37" i="12" s="1"/>
  <c r="S40" i="12" s="1"/>
  <c r="U7" i="12"/>
  <c r="U23" i="12" l="1"/>
  <c r="U9" i="12"/>
  <c r="S38" i="12"/>
  <c r="V17" i="12"/>
  <c r="T11" i="12"/>
  <c r="T37" i="12" s="1"/>
  <c r="T40" i="12" s="1"/>
  <c r="V7" i="12"/>
  <c r="V23" i="12" l="1"/>
  <c r="V9" i="12"/>
  <c r="T38" i="12"/>
  <c r="W17" i="12"/>
  <c r="U11" i="12"/>
  <c r="U37" i="12" s="1"/>
  <c r="U40" i="12" s="1"/>
  <c r="W7" i="12"/>
  <c r="W23" i="12" l="1"/>
  <c r="W9" i="12"/>
  <c r="U38" i="12"/>
  <c r="X17" i="12"/>
  <c r="V11" i="12"/>
  <c r="V37" i="12" s="1"/>
  <c r="V40" i="12" s="1"/>
  <c r="X7" i="12"/>
  <c r="X23" i="12" l="1"/>
  <c r="X9" i="12"/>
  <c r="V38" i="12"/>
  <c r="Y17" i="12"/>
  <c r="W11" i="12"/>
  <c r="W37" i="12" s="1"/>
  <c r="W40" i="12" s="1"/>
  <c r="Y7" i="12"/>
  <c r="Y9" i="12" l="1"/>
  <c r="Y23" i="12"/>
  <c r="W38" i="12"/>
  <c r="AA17" i="12"/>
  <c r="Z17" i="12"/>
  <c r="X11" i="12"/>
  <c r="X37" i="12" s="1"/>
  <c r="X40" i="12" s="1"/>
  <c r="Z7" i="12"/>
  <c r="Z9" i="12" l="1"/>
  <c r="Z23" i="12"/>
  <c r="X38" i="12"/>
  <c r="Y11" i="12"/>
  <c r="Y37" i="12" s="1"/>
  <c r="Y40" i="12" s="1"/>
  <c r="AA7" i="12"/>
  <c r="AA23" i="12" l="1"/>
  <c r="AA9" i="12"/>
  <c r="Y38" i="12"/>
  <c r="Z11" i="12"/>
  <c r="Z37" i="12" s="1"/>
  <c r="Z40" i="12" s="1"/>
  <c r="AA11" i="12"/>
  <c r="AA37" i="12" s="1"/>
  <c r="AA40" i="12" s="1"/>
  <c r="AA38" i="12" l="1"/>
  <c r="Z3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tc={1CE354E6-9939-4072-B511-4E4398DD8A5C}</author>
  </authors>
  <commentList>
    <comment ref="C38" authorId="0" shapeId="0" xr:uid="{1CE354E6-9939-4072-B511-4E4398DD8A5C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Gewinn vor Zinsen, Steuern und Abschreibungen auf Sachanlagen und immaterielle Vermögenswerte </t>
      </text>
    </comment>
  </commentList>
</comments>
</file>

<file path=xl/sharedStrings.xml><?xml version="1.0" encoding="utf-8"?>
<sst xmlns="http://schemas.openxmlformats.org/spreadsheetml/2006/main" count="155" uniqueCount="137">
  <si>
    <t>Price</t>
  </si>
  <si>
    <t>Revenue</t>
  </si>
  <si>
    <t>Sales &amp; Marketing Cost</t>
  </si>
  <si>
    <t>Production</t>
  </si>
  <si>
    <t>Overhead</t>
  </si>
  <si>
    <t>EBITDA</t>
  </si>
  <si>
    <t>Profit &amp; Loss for 2025/26</t>
  </si>
  <si>
    <t>Conversion Funnel</t>
  </si>
  <si>
    <t>Monthly Users</t>
  </si>
  <si>
    <t>Conversion Rate</t>
  </si>
  <si>
    <t>Mediated Bookings</t>
  </si>
  <si>
    <t>Comission per Booking</t>
  </si>
  <si>
    <t>Operational expenditure</t>
  </si>
  <si>
    <t>Total Marketing</t>
  </si>
  <si>
    <t>Chat GPT Requests/ Running Cost</t>
  </si>
  <si>
    <t>Cost per Request</t>
  </si>
  <si>
    <t>Total AI-Cost</t>
  </si>
  <si>
    <t>Founders</t>
  </si>
  <si>
    <t>Founders Salary*</t>
  </si>
  <si>
    <t>Employer Gross (x1,27)</t>
  </si>
  <si>
    <t>Total Salary Founders</t>
  </si>
  <si>
    <t>Other Employees</t>
  </si>
  <si>
    <t>Avg. Salary</t>
  </si>
  <si>
    <t>Total Salary Others</t>
  </si>
  <si>
    <t>Human Resource Total</t>
  </si>
  <si>
    <t>Inputs</t>
  </si>
  <si>
    <t xml:space="preserve"> </t>
  </si>
  <si>
    <t>Monthly Growth Rate</t>
  </si>
  <si>
    <t>Guide</t>
  </si>
  <si>
    <t>About the model</t>
  </si>
  <si>
    <t>This section explains the purpose of the model</t>
  </si>
  <si>
    <t>Purpose</t>
  </si>
  <si>
    <t>►</t>
  </si>
  <si>
    <t>The model is designed to provide a tutorial on how to incorporate a best practise cashflow waterfall in your financial models.</t>
  </si>
  <si>
    <t>Key</t>
  </si>
  <si>
    <t>This section describes the formatting used in the model</t>
  </si>
  <si>
    <t>Key model format</t>
  </si>
  <si>
    <t>Assumption</t>
  </si>
  <si>
    <t>Cells that a user can change</t>
  </si>
  <si>
    <t>Technical_Input</t>
  </si>
  <si>
    <t>Cells with inputs that should not be changed</t>
  </si>
  <si>
    <t>InSheet</t>
  </si>
  <si>
    <t>Referencing cells from within sheet</t>
  </si>
  <si>
    <t>OffSheet</t>
  </si>
  <si>
    <t>Referencing cells from a different sheet</t>
  </si>
  <si>
    <t>Line_Summary</t>
  </si>
  <si>
    <t>Addition of all cells to the right</t>
  </si>
  <si>
    <t>Header format</t>
  </si>
  <si>
    <t>Header0</t>
  </si>
  <si>
    <t>H0 Header0</t>
  </si>
  <si>
    <t>Header1</t>
  </si>
  <si>
    <t>H1 Header1</t>
  </si>
  <si>
    <t>Header2</t>
  </si>
  <si>
    <t>H2 Header2</t>
  </si>
  <si>
    <t>Header3</t>
  </si>
  <si>
    <t>H3 Header3</t>
  </si>
  <si>
    <t>Header4</t>
  </si>
  <si>
    <t>H4 Header4</t>
  </si>
  <si>
    <t>Sheet_Header</t>
  </si>
  <si>
    <t>SH Sheet_Header</t>
  </si>
  <si>
    <t>Table_Heading</t>
  </si>
  <si>
    <t>TA Table_Heading</t>
  </si>
  <si>
    <t>Cell format</t>
  </si>
  <si>
    <t>Comma [0]</t>
  </si>
  <si>
    <t>C0 Comma [0]</t>
  </si>
  <si>
    <t>Comma 2</t>
  </si>
  <si>
    <t>C2 Comma 2</t>
  </si>
  <si>
    <t>Date</t>
  </si>
  <si>
    <t>DA Date</t>
  </si>
  <si>
    <t>Empty_Cell</t>
  </si>
  <si>
    <t>EM Empty_Cell</t>
  </si>
  <si>
    <t>Flag</t>
  </si>
  <si>
    <t>FL Flag</t>
  </si>
  <si>
    <t>IS InSheet</t>
  </si>
  <si>
    <t>Line_ClosingBal</t>
  </si>
  <si>
    <t>LC Line_ClosingBal</t>
  </si>
  <si>
    <t>Line_Operation</t>
  </si>
  <si>
    <t>LO Line_Operation</t>
  </si>
  <si>
    <t>Line_SubTotal</t>
  </si>
  <si>
    <t>LS Line_SubTotal</t>
  </si>
  <si>
    <t>Line_Total</t>
  </si>
  <si>
    <t>LT Line_Total</t>
  </si>
  <si>
    <t>Normal</t>
  </si>
  <si>
    <t>Percent</t>
  </si>
  <si>
    <t>PE Percent</t>
  </si>
  <si>
    <t>Ratio</t>
  </si>
  <si>
    <t>RA Ratio</t>
  </si>
  <si>
    <t>Unit</t>
  </si>
  <si>
    <t>UN Unit</t>
  </si>
  <si>
    <t>Cashflow</t>
  </si>
  <si>
    <t>Bilanz</t>
  </si>
  <si>
    <t>Aktiva</t>
  </si>
  <si>
    <t>Anlagevermögen</t>
  </si>
  <si>
    <t>000€</t>
  </si>
  <si>
    <t>Umlaufvermögen</t>
  </si>
  <si>
    <t>Barmittel (Kassenbestand)</t>
  </si>
  <si>
    <t>Geldanlage</t>
  </si>
  <si>
    <t>Forderungen aus Lieferungen und Leistungen</t>
  </si>
  <si>
    <t>Lagerbestand (Vorräte)</t>
  </si>
  <si>
    <t>Summe Umlaufvermögen</t>
  </si>
  <si>
    <t>Summe Aktiva</t>
  </si>
  <si>
    <t>Passiva</t>
  </si>
  <si>
    <t>Eigenkapital</t>
  </si>
  <si>
    <t>gezeichnetes Kapital</t>
  </si>
  <si>
    <t>Eigenkapital (ohne gez. Kapital)</t>
  </si>
  <si>
    <t>Gewinnrücklage inkl. Gewinn- / Verlustvorträge</t>
  </si>
  <si>
    <t>Summe Eigenkapital</t>
  </si>
  <si>
    <t>Verbindlichkeiten</t>
  </si>
  <si>
    <t>Verbindlichkeiten aus Lieferungen und Leistungen</t>
  </si>
  <si>
    <t>Verbindlichkeiten gegenüber Kreditinstituten</t>
  </si>
  <si>
    <t>Summe Verbindlichkeiten</t>
  </si>
  <si>
    <t>Summe Passiva</t>
  </si>
  <si>
    <t>Total Revenue</t>
  </si>
  <si>
    <t>Content Creation (Grafics, Videos, et cetera)</t>
  </si>
  <si>
    <t>Social Media Marketing Budget</t>
  </si>
  <si>
    <t>Marketing Budget Rate</t>
  </si>
  <si>
    <t>Chat GPT Request per User Request</t>
  </si>
  <si>
    <t>⌀ Kosten Familienurlaub ab 3 Personen</t>
  </si>
  <si>
    <t>% Kommission pro Buchung</t>
  </si>
  <si>
    <t>Notes Intern</t>
  </si>
  <si>
    <t>Dividends to Founders*</t>
  </si>
  <si>
    <t>Bei Gewinn &gt; 50.000 werden anfänglich niedriges Gehalt durch Gewinnausschüttungen kompensiert</t>
  </si>
  <si>
    <t xml:space="preserve">Up </t>
  </si>
  <si>
    <t>Micro-Influencer Partnerships in the beginning and own content creation</t>
  </si>
  <si>
    <t>Own Content Creation - Short videos et cetera</t>
  </si>
  <si>
    <t>Target Social Media Ads (500-750 Users; Micro Influencers (100-250 Users); Organic Channels (350-750 Users)</t>
  </si>
  <si>
    <t>PnL</t>
  </si>
  <si>
    <t>Month:</t>
  </si>
  <si>
    <t>Yearly Revenue</t>
  </si>
  <si>
    <t>Monthly Revenue (Avg.)</t>
  </si>
  <si>
    <t>Pre Money Bewertung - First Investment</t>
  </si>
  <si>
    <t>Notes on the right</t>
  </si>
  <si>
    <t>Revenue-Multiple</t>
  </si>
  <si>
    <t>- Exceptional growh rate</t>
  </si>
  <si>
    <t>- Large adressable market</t>
  </si>
  <si>
    <t>- Strong customer retention</t>
  </si>
  <si>
    <t>Spätere Kompesation durch Gewinnausschüttungen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</si>
</sst>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)_ ;_ * \(#,##0.00\)_ ;_ * &quot;-&quot;??_)_ ;_ @_ "/>
    <numFmt numFmtId="164" formatCode="_(* #,##0_);_(* \(#,##0\);_(* &quot;-&quot;??_);_(@_)"/>
    <numFmt numFmtId="165" formatCode="d\-mmm\-yy\ ;@"/>
    <numFmt numFmtId="166" formatCode="d\-mmm\-yyyy\ ;@"/>
    <numFmt numFmtId="167" formatCode="#,##0_-;\ \(#,##0\);_-* &quot;-&quot;??;_-@_-"/>
    <numFmt numFmtId="168" formatCode="_(* #,##0.00%_);_(* \(#,##0.00%\);_(* &quot;-&quot;??_);_(@_)"/>
    <numFmt numFmtId="169" formatCode="_(* #,##0.00\x_);_(* \(#,##0.00\x\);_(* &quot;-&quot;??_);_(@_)"/>
    <numFmt numFmtId="170" formatCode="_(* #,##0.00_);_(* \(#,##0.00\);_(* &quot;-&quot;??_);_(@_)"/>
    <numFmt numFmtId="171" formatCode="&quot;Fail&quot;;&quot;Fail&quot;;&quot;Ok&quot;"/>
  </numFmts>
  <fonts count="40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20"/>
      <color rgb="FF003366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8"/>
      <color rgb="FF0071CE"/>
      <name val="Arial"/>
      <family val="2"/>
    </font>
    <font>
      <i/>
      <sz val="10"/>
      <color rgb="FF003366"/>
      <name val="Arial"/>
      <family val="2"/>
    </font>
    <font>
      <b/>
      <sz val="14"/>
      <color rgb="FF0071CE"/>
      <name val="Arial"/>
      <family val="2"/>
    </font>
    <font>
      <b/>
      <sz val="12"/>
      <color rgb="FF00549A"/>
      <name val="Arial"/>
      <family val="2"/>
    </font>
    <font>
      <b/>
      <sz val="12"/>
      <name val="Arial"/>
      <family val="2"/>
    </font>
    <font>
      <sz val="11"/>
      <color theme="0" tint="-0.249977111117893"/>
      <name val="Arial"/>
      <family val="2"/>
    </font>
    <font>
      <sz val="10"/>
      <color theme="3"/>
      <name val="Arial"/>
      <family val="2"/>
    </font>
    <font>
      <sz val="10"/>
      <color theme="1" tint="0.34998626667073579"/>
      <name val="Arial"/>
      <family val="2"/>
    </font>
    <font>
      <i/>
      <sz val="10"/>
      <color rgb="FF004080"/>
      <name val="Arial"/>
      <family val="2"/>
    </font>
    <font>
      <sz val="10"/>
      <color rgb="FF974706"/>
      <name val="Arial"/>
      <family val="2"/>
    </font>
    <font>
      <b/>
      <i/>
      <sz val="11"/>
      <color rgb="FF003866"/>
      <name val="Arial"/>
      <family val="2"/>
    </font>
    <font>
      <b/>
      <sz val="10"/>
      <color rgb="FF001B32"/>
      <name val="Arial"/>
      <family val="2"/>
    </font>
    <font>
      <sz val="10"/>
      <color theme="0" tint="-0.24994659260841701"/>
      <name val="Arial"/>
      <family val="2"/>
    </font>
    <font>
      <sz val="10"/>
      <color theme="1" tint="0.499984740745262"/>
      <name val="Arial"/>
      <family val="2"/>
    </font>
    <font>
      <b/>
      <sz val="10"/>
      <color indexed="8"/>
      <name val="Arial"/>
      <family val="2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b/>
      <sz val="10"/>
      <color rgb="FF00549A"/>
      <name val="Arial"/>
      <family val="2"/>
    </font>
    <font>
      <b/>
      <sz val="10"/>
      <color rgb="FF003366"/>
      <name val="Arial"/>
      <family val="2"/>
    </font>
    <font>
      <b/>
      <i/>
      <sz val="10"/>
      <color rgb="FF00386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DB4E2"/>
        <bgColor rgb="FF8DB4E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595959"/>
        <bgColor indexed="64"/>
      </patternFill>
    </fill>
    <fill>
      <patternFill patternType="mediumGray">
        <fgColor theme="1" tint="0.34998626667073579"/>
        <bgColor indexed="65"/>
      </patternFill>
    </fill>
    <fill>
      <patternFill patternType="lightUp">
        <fgColor theme="0" tint="-0.24994659260841701"/>
        <bgColor indexed="65"/>
      </patternFill>
    </fill>
    <fill>
      <patternFill patternType="solid">
        <fgColor theme="2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rgb="FF787878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1" tint="0.34998626667073579"/>
      </top>
      <bottom style="double">
        <color theme="1" tint="0.34998626667073579"/>
      </bottom>
      <diagonal/>
    </border>
    <border>
      <left/>
      <right/>
      <top style="dashed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9">
    <xf numFmtId="0" fontId="0" fillId="0" borderId="0"/>
    <xf numFmtId="0" fontId="15" fillId="5" borderId="5" applyNumberFormat="0">
      <alignment horizontal="left" indent="1"/>
    </xf>
    <xf numFmtId="0" fontId="16" fillId="0" borderId="0">
      <alignment vertical="top"/>
    </xf>
    <xf numFmtId="0" fontId="18" fillId="0" borderId="6" applyNumberFormat="0" applyAlignment="0"/>
    <xf numFmtId="0" fontId="20" fillId="0" borderId="0" applyNumberFormat="0" applyFill="0" applyBorder="0" applyAlignment="0"/>
    <xf numFmtId="0" fontId="21" fillId="0" borderId="0" applyNumberFormat="0" applyFill="0" applyBorder="0" applyAlignment="0"/>
    <xf numFmtId="0" fontId="24" fillId="6" borderId="7" applyNumberFormat="0" applyAlignment="0">
      <protection locked="0"/>
    </xf>
    <xf numFmtId="0" fontId="25" fillId="5" borderId="8" applyNumberFormat="0" applyAlignment="0"/>
    <xf numFmtId="2" fontId="26" fillId="0" borderId="0" applyNumberFormat="0"/>
    <xf numFmtId="0" fontId="17" fillId="0" borderId="9" applyNumberFormat="0" applyFont="0" applyAlignment="0"/>
    <xf numFmtId="0" fontId="27" fillId="5" borderId="10" applyNumberFormat="0" applyAlignment="0"/>
    <xf numFmtId="0" fontId="17" fillId="5" borderId="8" applyNumberFormat="0" applyAlignment="0" applyProtection="0"/>
    <xf numFmtId="0" fontId="28" fillId="0" borderId="0" applyNumberFormat="0" applyFill="0" applyBorder="0" applyAlignment="0"/>
    <xf numFmtId="0" fontId="29" fillId="0" borderId="0"/>
    <xf numFmtId="0" fontId="14" fillId="7" borderId="10" applyNumberFormat="0">
      <alignment horizontal="centerContinuous" vertical="center" wrapText="1"/>
    </xf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8" borderId="8" applyNumberFormat="0" applyFont="0" applyAlignment="0"/>
    <xf numFmtId="167" fontId="30" fillId="9" borderId="11"/>
    <xf numFmtId="0" fontId="17" fillId="0" borderId="12" applyNumberFormat="0" applyFont="0" applyFill="0" applyAlignment="0" applyProtection="0"/>
    <xf numFmtId="0" fontId="17" fillId="0" borderId="13" applyNumberFormat="0" applyFont="0" applyFill="0" applyAlignment="0" applyProtection="0"/>
    <xf numFmtId="0" fontId="17" fillId="0" borderId="14" applyNumberFormat="0" applyFont="0" applyFill="0" applyAlignment="0" applyProtection="0"/>
    <xf numFmtId="168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0" fontId="31" fillId="0" borderId="0" applyNumberFormat="0" applyFill="0" applyBorder="0" applyAlignment="0"/>
    <xf numFmtId="170" fontId="17" fillId="0" borderId="0" applyFont="0" applyFill="0" applyBorder="0" applyAlignment="0" applyProtection="0"/>
    <xf numFmtId="0" fontId="16" fillId="0" borderId="15" applyNumberFormat="0">
      <alignment horizontal="center"/>
    </xf>
    <xf numFmtId="171" fontId="25" fillId="0" borderId="8">
      <alignment horizontal="center"/>
    </xf>
    <xf numFmtId="43" fontId="39" fillId="0" borderId="0" applyFont="0" applyFill="0" applyBorder="0" applyAlignment="0" applyProtection="0"/>
  </cellStyleXfs>
  <cellXfs count="128">
    <xf numFmtId="0" fontId="0" fillId="0" borderId="0" xfId="0"/>
    <xf numFmtId="0" fontId="8" fillId="0" borderId="0" xfId="0" applyFont="1"/>
    <xf numFmtId="0" fontId="9" fillId="0" borderId="0" xfId="0" applyFont="1"/>
    <xf numFmtId="0" fontId="9" fillId="0" borderId="2" xfId="0" applyFont="1" applyBorder="1"/>
    <xf numFmtId="0" fontId="10" fillId="0" borderId="2" xfId="0" applyFont="1" applyBorder="1" applyAlignment="1">
      <alignment horizontal="right"/>
    </xf>
    <xf numFmtId="0" fontId="9" fillId="0" borderId="0" xfId="0" quotePrefix="1" applyFont="1"/>
    <xf numFmtId="0" fontId="9" fillId="4" borderId="1" xfId="0" quotePrefix="1" applyFont="1" applyFill="1" applyBorder="1"/>
    <xf numFmtId="0" fontId="9" fillId="3" borderId="4" xfId="0" quotePrefix="1" applyFont="1" applyFill="1" applyBorder="1"/>
    <xf numFmtId="0" fontId="12" fillId="0" borderId="0" xfId="0" applyFont="1" applyAlignment="1">
      <alignment horizontal="right"/>
    </xf>
    <xf numFmtId="0" fontId="15" fillId="5" borderId="5" xfId="1">
      <alignment horizontal="left" indent="1"/>
    </xf>
    <xf numFmtId="0" fontId="16" fillId="5" borderId="5" xfId="2" applyFill="1" applyBorder="1">
      <alignment vertical="top"/>
    </xf>
    <xf numFmtId="0" fontId="16" fillId="0" borderId="0" xfId="2">
      <alignment vertical="top"/>
    </xf>
    <xf numFmtId="0" fontId="17" fillId="0" borderId="0" xfId="2" applyFont="1">
      <alignment vertical="top"/>
    </xf>
    <xf numFmtId="0" fontId="18" fillId="0" borderId="6" xfId="3"/>
    <xf numFmtId="0" fontId="19" fillId="0" borderId="0" xfId="2" applyFont="1">
      <alignment vertical="top"/>
    </xf>
    <xf numFmtId="0" fontId="20" fillId="0" borderId="0" xfId="4"/>
    <xf numFmtId="0" fontId="22" fillId="0" borderId="0" xfId="5" applyFont="1"/>
    <xf numFmtId="0" fontId="23" fillId="0" borderId="0" xfId="2" applyFont="1" applyAlignment="1">
      <alignment horizontal="center" vertical="center"/>
    </xf>
    <xf numFmtId="0" fontId="24" fillId="6" borderId="7" xfId="6">
      <protection locked="0"/>
    </xf>
    <xf numFmtId="0" fontId="17" fillId="0" borderId="0" xfId="2" applyFont="1" applyAlignment="1"/>
    <xf numFmtId="0" fontId="25" fillId="5" borderId="8" xfId="7"/>
    <xf numFmtId="0" fontId="19" fillId="0" borderId="0" xfId="8" applyNumberFormat="1" applyFont="1"/>
    <xf numFmtId="0" fontId="17" fillId="0" borderId="9" xfId="9" applyAlignment="1">
      <alignment horizontal="right"/>
    </xf>
    <xf numFmtId="0" fontId="27" fillId="5" borderId="10" xfId="10"/>
    <xf numFmtId="0" fontId="17" fillId="5" borderId="8" xfId="11"/>
    <xf numFmtId="0" fontId="18" fillId="0" borderId="6" xfId="3" applyAlignment="1">
      <alignment horizontal="center" vertical="center"/>
    </xf>
    <xf numFmtId="0" fontId="20" fillId="0" borderId="0" xfId="4" applyAlignment="1">
      <alignment horizontal="center" vertical="center"/>
    </xf>
    <xf numFmtId="0" fontId="21" fillId="0" borderId="0" xfId="5" applyAlignment="1">
      <alignment horizontal="center" vertical="center"/>
    </xf>
    <xf numFmtId="0" fontId="28" fillId="0" borderId="0" xfId="12" applyAlignment="1">
      <alignment horizontal="center" vertical="center"/>
    </xf>
    <xf numFmtId="0" fontId="29" fillId="0" borderId="0" xfId="13" applyAlignment="1">
      <alignment horizontal="center"/>
    </xf>
    <xf numFmtId="0" fontId="15" fillId="5" borderId="5" xfId="1" applyAlignment="1">
      <alignment horizontal="center"/>
    </xf>
    <xf numFmtId="0" fontId="14" fillId="7" borderId="10" xfId="14">
      <alignment horizontal="centerContinuous" vertical="center" wrapText="1"/>
    </xf>
    <xf numFmtId="164" fontId="0" fillId="0" borderId="0" xfId="15" applyFont="1" applyAlignment="1">
      <alignment horizontal="center"/>
    </xf>
    <xf numFmtId="0" fontId="16" fillId="0" borderId="0" xfId="2" applyAlignment="1">
      <alignment horizontal="center"/>
    </xf>
    <xf numFmtId="166" fontId="0" fillId="0" borderId="0" xfId="16" applyNumberFormat="1" applyFont="1" applyAlignment="1">
      <alignment horizontal="center"/>
    </xf>
    <xf numFmtId="0" fontId="0" fillId="8" borderId="8" xfId="17" applyFont="1" applyAlignment="1">
      <alignment horizontal="center"/>
    </xf>
    <xf numFmtId="167" fontId="30" fillId="9" borderId="11" xfId="18" applyAlignment="1">
      <alignment horizontal="center"/>
    </xf>
    <xf numFmtId="0" fontId="17" fillId="0" borderId="0" xfId="9" applyBorder="1" applyAlignment="1">
      <alignment horizontal="center"/>
    </xf>
    <xf numFmtId="0" fontId="0" fillId="0" borderId="12" xfId="19" applyFont="1" applyAlignment="1">
      <alignment horizontal="center"/>
    </xf>
    <xf numFmtId="0" fontId="16" fillId="0" borderId="0" xfId="2" applyAlignment="1"/>
    <xf numFmtId="0" fontId="0" fillId="0" borderId="13" xfId="20" applyFont="1" applyAlignment="1">
      <alignment horizontal="center"/>
    </xf>
    <xf numFmtId="0" fontId="0" fillId="0" borderId="14" xfId="21" applyFont="1" applyAlignment="1">
      <alignment horizontal="center"/>
    </xf>
    <xf numFmtId="0" fontId="0" fillId="0" borderId="15" xfId="21" applyFont="1" applyBorder="1" applyAlignment="1">
      <alignment horizontal="center"/>
    </xf>
    <xf numFmtId="168" fontId="0" fillId="0" borderId="0" xfId="22" applyFont="1" applyAlignment="1">
      <alignment horizontal="center"/>
    </xf>
    <xf numFmtId="169" fontId="0" fillId="0" borderId="0" xfId="23" applyFont="1" applyAlignment="1">
      <alignment horizontal="center"/>
    </xf>
    <xf numFmtId="0" fontId="31" fillId="0" borderId="0" xfId="24" applyAlignment="1">
      <alignment horizontal="center"/>
    </xf>
    <xf numFmtId="0" fontId="21" fillId="0" borderId="0" xfId="5" applyAlignment="1">
      <alignment vertical="top"/>
    </xf>
    <xf numFmtId="170" fontId="32" fillId="0" borderId="15" xfId="26" applyNumberFormat="1" applyFont="1">
      <alignment horizontal="center"/>
    </xf>
    <xf numFmtId="0" fontId="32" fillId="0" borderId="15" xfId="26" applyFont="1" applyAlignment="1">
      <alignment horizontal="left"/>
    </xf>
    <xf numFmtId="0" fontId="34" fillId="0" borderId="0" xfId="0" applyFont="1"/>
    <xf numFmtId="0" fontId="34" fillId="0" borderId="0" xfId="0" applyFont="1" applyAlignment="1">
      <alignment vertical="top"/>
    </xf>
    <xf numFmtId="0" fontId="13" fillId="0" borderId="16" xfId="21" applyFont="1" applyFill="1" applyBorder="1"/>
    <xf numFmtId="170" fontId="13" fillId="0" borderId="16" xfId="21" applyNumberFormat="1" applyFont="1" applyFill="1" applyBorder="1"/>
    <xf numFmtId="0" fontId="13" fillId="0" borderId="0" xfId="21" applyFont="1" applyFill="1" applyBorder="1"/>
    <xf numFmtId="170" fontId="13" fillId="0" borderId="0" xfId="21" applyNumberFormat="1" applyFont="1" applyFill="1" applyBorder="1"/>
    <xf numFmtId="170" fontId="13" fillId="0" borderId="0" xfId="21" applyNumberFormat="1" applyFont="1" applyBorder="1"/>
    <xf numFmtId="0" fontId="13" fillId="0" borderId="16" xfId="21" applyFont="1" applyBorder="1"/>
    <xf numFmtId="0" fontId="13" fillId="0" borderId="14" xfId="21" applyFont="1"/>
    <xf numFmtId="170" fontId="13" fillId="0" borderId="14" xfId="21" applyNumberFormat="1" applyFont="1"/>
    <xf numFmtId="0" fontId="7" fillId="0" borderId="0" xfId="0" applyFont="1"/>
    <xf numFmtId="0" fontId="35" fillId="0" borderId="0" xfId="5" applyFont="1" applyAlignment="1">
      <alignment vertical="top"/>
    </xf>
    <xf numFmtId="0" fontId="13" fillId="0" borderId="0" xfId="0" applyFont="1"/>
    <xf numFmtId="9" fontId="7" fillId="0" borderId="0" xfId="0" applyNumberFormat="1" applyFont="1"/>
    <xf numFmtId="170" fontId="7" fillId="0" borderId="0" xfId="25" applyFont="1"/>
    <xf numFmtId="9" fontId="24" fillId="6" borderId="17" xfId="6" applyNumberFormat="1" applyBorder="1">
      <protection locked="0"/>
    </xf>
    <xf numFmtId="0" fontId="7" fillId="0" borderId="10" xfId="0" applyFont="1" applyBorder="1"/>
    <xf numFmtId="3" fontId="37" fillId="0" borderId="0" xfId="12" applyNumberFormat="1" applyFont="1"/>
    <xf numFmtId="0" fontId="37" fillId="0" borderId="0" xfId="12" applyFont="1"/>
    <xf numFmtId="170" fontId="7" fillId="0" borderId="0" xfId="25" applyFont="1" applyBorder="1"/>
    <xf numFmtId="0" fontId="7" fillId="0" borderId="0" xfId="21" applyFont="1" applyFill="1" applyBorder="1"/>
    <xf numFmtId="0" fontId="7" fillId="0" borderId="0" xfId="21" applyFont="1" applyBorder="1"/>
    <xf numFmtId="0" fontId="9" fillId="0" borderId="0" xfId="0" applyFont="1" applyAlignment="1">
      <alignment horizontal="right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right"/>
    </xf>
    <xf numFmtId="3" fontId="9" fillId="0" borderId="0" xfId="0" applyNumberFormat="1" applyFont="1" applyAlignment="1">
      <alignment horizontal="right"/>
    </xf>
    <xf numFmtId="3" fontId="9" fillId="4" borderId="1" xfId="0" applyNumberFormat="1" applyFont="1" applyFill="1" applyBorder="1" applyAlignment="1">
      <alignment horizontal="right"/>
    </xf>
    <xf numFmtId="0" fontId="9" fillId="3" borderId="4" xfId="0" applyFont="1" applyFill="1" applyBorder="1"/>
    <xf numFmtId="0" fontId="9" fillId="3" borderId="4" xfId="0" applyFont="1" applyFill="1" applyBorder="1" applyAlignment="1">
      <alignment horizontal="right"/>
    </xf>
    <xf numFmtId="3" fontId="9" fillId="3" borderId="4" xfId="0" applyNumberFormat="1" applyFont="1" applyFill="1" applyBorder="1" applyAlignment="1">
      <alignment horizontal="right"/>
    </xf>
    <xf numFmtId="0" fontId="6" fillId="0" borderId="0" xfId="0" applyFont="1"/>
    <xf numFmtId="170" fontId="7" fillId="0" borderId="0" xfId="25" applyFont="1" applyFill="1"/>
    <xf numFmtId="0" fontId="13" fillId="0" borderId="14" xfId="21" applyFont="1" applyFill="1"/>
    <xf numFmtId="170" fontId="13" fillId="0" borderId="14" xfId="25" applyFont="1" applyFill="1" applyBorder="1"/>
    <xf numFmtId="0" fontId="5" fillId="10" borderId="18" xfId="0" applyFont="1" applyFill="1" applyBorder="1"/>
    <xf numFmtId="0" fontId="7" fillId="10" borderId="0" xfId="0" applyFont="1" applyFill="1"/>
    <xf numFmtId="0" fontId="7" fillId="10" borderId="18" xfId="0" applyFont="1" applyFill="1" applyBorder="1"/>
    <xf numFmtId="0" fontId="5" fillId="10" borderId="0" xfId="0" applyFont="1" applyFill="1"/>
    <xf numFmtId="0" fontId="38" fillId="10" borderId="19" xfId="0" applyFont="1" applyFill="1" applyBorder="1"/>
    <xf numFmtId="170" fontId="24" fillId="6" borderId="7" xfId="6" applyNumberFormat="1">
      <protection locked="0"/>
    </xf>
    <xf numFmtId="9" fontId="24" fillId="6" borderId="7" xfId="6" applyNumberFormat="1">
      <protection locked="0"/>
    </xf>
    <xf numFmtId="0" fontId="13" fillId="0" borderId="16" xfId="0" applyFont="1" applyBorder="1"/>
    <xf numFmtId="170" fontId="7" fillId="0" borderId="16" xfId="25" applyFont="1" applyBorder="1"/>
    <xf numFmtId="0" fontId="4" fillId="0" borderId="0" xfId="0" applyFont="1"/>
    <xf numFmtId="0" fontId="4" fillId="10" borderId="0" xfId="0" applyFont="1" applyFill="1"/>
    <xf numFmtId="0" fontId="3" fillId="10" borderId="0" xfId="0" applyFont="1" applyFill="1"/>
    <xf numFmtId="0" fontId="15" fillId="5" borderId="21" xfId="1" applyBorder="1">
      <alignment horizontal="left" indent="1"/>
    </xf>
    <xf numFmtId="0" fontId="36" fillId="5" borderId="21" xfId="1" applyFont="1" applyBorder="1">
      <alignment horizontal="left" indent="1"/>
    </xf>
    <xf numFmtId="0" fontId="36" fillId="10" borderId="21" xfId="1" applyFont="1" applyFill="1" applyBorder="1">
      <alignment horizontal="left" indent="1"/>
    </xf>
    <xf numFmtId="0" fontId="34" fillId="0" borderId="22" xfId="0" applyFont="1" applyBorder="1"/>
    <xf numFmtId="0" fontId="13" fillId="0" borderId="22" xfId="0" applyFont="1" applyBorder="1" applyAlignment="1">
      <alignment horizontal="right"/>
    </xf>
    <xf numFmtId="0" fontId="13" fillId="0" borderId="22" xfId="0" applyFont="1" applyBorder="1" applyAlignment="1">
      <alignment horizontal="center"/>
    </xf>
    <xf numFmtId="0" fontId="7" fillId="0" borderId="22" xfId="0" applyFont="1" applyBorder="1"/>
    <xf numFmtId="0" fontId="7" fillId="10" borderId="23" xfId="0" applyFont="1" applyFill="1" applyBorder="1"/>
    <xf numFmtId="0" fontId="7" fillId="10" borderId="22" xfId="0" applyFont="1" applyFill="1" applyBorder="1"/>
    <xf numFmtId="0" fontId="2" fillId="0" borderId="0" xfId="0" applyFont="1"/>
    <xf numFmtId="170" fontId="7" fillId="0" borderId="22" xfId="25" applyFont="1" applyBorder="1"/>
    <xf numFmtId="170" fontId="13" fillId="0" borderId="0" xfId="25" applyFont="1"/>
    <xf numFmtId="43" fontId="7" fillId="0" borderId="0" xfId="28" applyFont="1"/>
    <xf numFmtId="0" fontId="13" fillId="0" borderId="20" xfId="0" applyFont="1" applyBorder="1"/>
    <xf numFmtId="170" fontId="13" fillId="0" borderId="20" xfId="25" applyFont="1" applyBorder="1"/>
    <xf numFmtId="3" fontId="33" fillId="0" borderId="24" xfId="0" applyNumberFormat="1" applyFont="1" applyBorder="1"/>
    <xf numFmtId="170" fontId="13" fillId="0" borderId="24" xfId="0" applyNumberFormat="1" applyFont="1" applyBorder="1"/>
    <xf numFmtId="0" fontId="1" fillId="0" borderId="22" xfId="0" applyFont="1" applyBorder="1"/>
    <xf numFmtId="43" fontId="13" fillId="0" borderId="22" xfId="28" applyFont="1" applyBorder="1"/>
    <xf numFmtId="9" fontId="13" fillId="0" borderId="22" xfId="0" applyNumberFormat="1" applyFont="1" applyBorder="1" applyAlignment="1">
      <alignment horizontal="left"/>
    </xf>
    <xf numFmtId="0" fontId="1" fillId="0" borderId="0" xfId="0" quotePrefix="1" applyFont="1"/>
    <xf numFmtId="0" fontId="1" fillId="10" borderId="0" xfId="0" applyFont="1" applyFill="1"/>
    <xf numFmtId="0" fontId="17" fillId="0" borderId="0" xfId="2" applyFont="1" applyAlignment="1">
      <alignment vertical="top" wrapText="1"/>
    </xf>
    <xf numFmtId="0" fontId="8" fillId="2" borderId="0" xfId="0" applyFont="1" applyFill="1"/>
    <xf numFmtId="0" fontId="0" fillId="0" borderId="0" xfId="0"/>
    <xf numFmtId="0" fontId="9" fillId="3" borderId="3" xfId="0" applyFont="1" applyFill="1" applyBorder="1"/>
    <xf numFmtId="0" fontId="11" fillId="0" borderId="3" xfId="0" applyFont="1" applyBorder="1"/>
    <xf numFmtId="0" fontId="9" fillId="3" borderId="1" xfId="0" applyFont="1" applyFill="1" applyBorder="1"/>
    <xf numFmtId="0" fontId="11" fillId="0" borderId="1" xfId="0" applyFont="1" applyBorder="1"/>
    <xf numFmtId="0" fontId="9" fillId="4" borderId="1" xfId="0" applyFont="1" applyFill="1" applyBorder="1"/>
    <xf numFmtId="0" fontId="9" fillId="3" borderId="2" xfId="0" applyFont="1" applyFill="1" applyBorder="1"/>
    <xf numFmtId="0" fontId="11" fillId="0" borderId="2" xfId="0" applyFont="1" applyBorder="1"/>
    <xf numFmtId="0" fontId="9" fillId="4" borderId="2" xfId="0" applyFont="1" applyFill="1" applyBorder="1"/>
  </cellXfs>
  <cellStyles count="29">
    <cellStyle name="AS Assumption" xfId="6" xr:uid="{F7672A39-EC81-4994-B570-DE03A3314D48}"/>
    <cellStyle name="C0 Comma [0]" xfId="15" xr:uid="{D8F3B6E6-2E50-4F6D-A419-8346903C2BE1}"/>
    <cellStyle name="C2 Comma 2" xfId="25" xr:uid="{014163B2-9268-41A8-B607-9C2DC30CF35E}"/>
    <cellStyle name="CH Check" xfId="27" xr:uid="{3467E38E-23C1-48E0-B025-66E7D6B0D207}"/>
    <cellStyle name="DA Date" xfId="16" xr:uid="{FCA03DCC-9199-4745-AD4E-E78C77C9353D}"/>
    <cellStyle name="EM Empty_Cell" xfId="17" xr:uid="{575357C4-7898-48A1-BE46-18D5439F895D}"/>
    <cellStyle name="FL Flag" xfId="18" xr:uid="{0B029480-21D9-4FFF-A1D4-D9DF4EAC6147}"/>
    <cellStyle name="H0 Header0" xfId="3" xr:uid="{DCBC7768-7CB4-4947-82DF-70D874AE34FC}"/>
    <cellStyle name="H1 Header1" xfId="4" xr:uid="{11E7CD20-637E-4A8D-8042-5DAC2DFDB527}"/>
    <cellStyle name="H2 Header2" xfId="5" xr:uid="{4B39BFCB-8D9F-4549-A2F9-67A3C965368A}"/>
    <cellStyle name="H3 Header3" xfId="12" xr:uid="{2916EDCD-ABCB-440C-940C-EF79BD5D17CC}"/>
    <cellStyle name="H4 Header4" xfId="13" xr:uid="{2949E851-D2EB-4629-978A-5DAD380C95F5}"/>
    <cellStyle name="IN Information" xfId="8" xr:uid="{C7956F79-48E2-4C42-ACE6-1FAC3FCE15AE}"/>
    <cellStyle name="IS InSheet" xfId="9" xr:uid="{94FDC3BD-9853-4AF3-94CF-092D2BF98A07}"/>
    <cellStyle name="Komma" xfId="28" builtinId="3"/>
    <cellStyle name="LC Line_ClosingBal" xfId="19" xr:uid="{08ED4F7C-C0A4-4559-9B64-9BA55D9A3FB1}"/>
    <cellStyle name="LO Line_Operation" xfId="20" xr:uid="{C566D6BE-166E-41BF-8DEA-D14D986E9E2A}"/>
    <cellStyle name="LS Line_SubTotal" xfId="21" xr:uid="{95FD99BD-1234-41D9-B760-275D543A3686}"/>
    <cellStyle name="LT Line_Total" xfId="26" xr:uid="{9CF3E1C3-022B-49B0-B35A-C33239EE99A9}"/>
    <cellStyle name="LU Line_Summary" xfId="11" xr:uid="{32384BB2-5516-4A4B-B6A1-094D3BAA97F8}"/>
    <cellStyle name="OF OffSheet" xfId="10" xr:uid="{A06D50DD-B925-4F84-8DE2-17C9E9BB65CE}"/>
    <cellStyle name="PE Percent" xfId="22" xr:uid="{B08B86AD-6961-4B49-87B0-BE60CBB9A1AC}"/>
    <cellStyle name="RA Ratio" xfId="23" xr:uid="{6B2EE91F-3D55-4125-A8B7-1EFC5B7314AC}"/>
    <cellStyle name="SH Sheet_Header" xfId="1" xr:uid="{FEC303CD-5B27-48C2-8A08-BC9D60AC7078}"/>
    <cellStyle name="Standard" xfId="0" builtinId="0"/>
    <cellStyle name="Standard 2" xfId="2" xr:uid="{3B4EE0EE-DFFD-491E-AABF-DA51CFCF1580}"/>
    <cellStyle name="TA Table_Heading" xfId="14" xr:uid="{66A94EDA-183C-4915-B4BC-B38342951D17}"/>
    <cellStyle name="TE Technical_Input" xfId="7" xr:uid="{8A242F31-F504-45C0-A25B-5F995D5615A3}"/>
    <cellStyle name="UN Unit" xfId="24" xr:uid="{B4E1344C-CD6F-4193-82C3-64C37055D9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%23%20Finanzen%20&amp;%20Steuern\06%20Vorlagen\Mazars_Excel_Vorlage.xlsx" TargetMode="External"/><Relationship Id="rId1" Type="http://schemas.openxmlformats.org/officeDocument/2006/relationships/externalLinkPath" Target="file:///W:\%23%20Finanzen%20&amp;%20Steuern\06%20Vorlagen\Mazars_Excel_Vorl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uide"/>
      <sheetName val="Assumptions"/>
      <sheetName val="CFW"/>
      <sheetName val="Tabelle1"/>
      <sheetName val="CFW (draft) (2)"/>
      <sheetName val="Tech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ernhard Wach" id="{C82445E4-EC58-4B3C-89EE-86403228BB50}" userId="S::bernhard.wach@hm.edu::535c0aac-0e93-4ebc-a897-f40dfd1f86fd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8" dT="2025-06-05T05:26:17.46" personId="{C82445E4-EC58-4B3C-89EE-86403228BB50}" id="{1CE354E6-9939-4072-B511-4E4398DD8A5C}">
    <text xml:space="preserve">Gewinn vor Zinsen, Steuern und Abschreibungen auf Sachanlagen und immaterielle Vermögenswerte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F718-7E15-4A35-8EF4-CEC5530FAE64}">
  <dimension ref="A1:AH53"/>
  <sheetViews>
    <sheetView showGridLines="0" tabSelected="1" zoomScale="85" zoomScaleNormal="85" workbookViewId="0">
      <selection activeCell="F48" sqref="F48"/>
    </sheetView>
  </sheetViews>
  <sheetFormatPr baseColWidth="10" defaultColWidth="11.42578125" defaultRowHeight="14.25" x14ac:dyDescent="0.2"/>
  <cols>
    <col min="1" max="2" width="3.7109375" style="49" customWidth="1"/>
    <col min="3" max="3" width="35.85546875" style="59" customWidth="1"/>
    <col min="4" max="4" width="14.5703125" style="59" bestFit="1" customWidth="1"/>
    <col min="5" max="27" width="12.28515625" style="59" bestFit="1" customWidth="1"/>
    <col min="28" max="29" width="11.42578125" style="59"/>
    <col min="30" max="30" width="5.7109375" style="85" customWidth="1"/>
    <col min="31" max="16384" width="11.42578125" style="84"/>
  </cols>
  <sheetData>
    <row r="1" spans="1:34" s="97" customFormat="1" ht="27" thickBot="1" x14ac:dyDescent="0.45">
      <c r="A1" s="95" t="s">
        <v>6</v>
      </c>
      <c r="B1" s="95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87" t="s">
        <v>119</v>
      </c>
    </row>
    <row r="2" spans="1:34" customFormat="1" ht="15" x14ac:dyDescent="0.25">
      <c r="A2" s="49" t="s">
        <v>131</v>
      </c>
    </row>
    <row r="3" spans="1:34" s="103" customFormat="1" x14ac:dyDescent="0.2">
      <c r="A3" s="98"/>
      <c r="B3" s="98"/>
      <c r="C3" s="99" t="s">
        <v>127</v>
      </c>
      <c r="D3" s="100">
        <v>1</v>
      </c>
      <c r="E3" s="100">
        <f>+D3+1</f>
        <v>2</v>
      </c>
      <c r="F3" s="100">
        <f t="shared" ref="F3:AA3" si="0">+E3+1</f>
        <v>3</v>
      </c>
      <c r="G3" s="100">
        <f t="shared" si="0"/>
        <v>4</v>
      </c>
      <c r="H3" s="100">
        <f t="shared" si="0"/>
        <v>5</v>
      </c>
      <c r="I3" s="100">
        <f t="shared" si="0"/>
        <v>6</v>
      </c>
      <c r="J3" s="100">
        <f t="shared" si="0"/>
        <v>7</v>
      </c>
      <c r="K3" s="100">
        <f t="shared" si="0"/>
        <v>8</v>
      </c>
      <c r="L3" s="100">
        <f t="shared" si="0"/>
        <v>9</v>
      </c>
      <c r="M3" s="100">
        <f t="shared" si="0"/>
        <v>10</v>
      </c>
      <c r="N3" s="100">
        <f t="shared" si="0"/>
        <v>11</v>
      </c>
      <c r="O3" s="100">
        <f t="shared" si="0"/>
        <v>12</v>
      </c>
      <c r="P3" s="100">
        <f t="shared" si="0"/>
        <v>13</v>
      </c>
      <c r="Q3" s="100">
        <f t="shared" si="0"/>
        <v>14</v>
      </c>
      <c r="R3" s="100">
        <f t="shared" si="0"/>
        <v>15</v>
      </c>
      <c r="S3" s="100">
        <f t="shared" si="0"/>
        <v>16</v>
      </c>
      <c r="T3" s="100">
        <f t="shared" si="0"/>
        <v>17</v>
      </c>
      <c r="U3" s="100">
        <f t="shared" si="0"/>
        <v>18</v>
      </c>
      <c r="V3" s="100">
        <f t="shared" si="0"/>
        <v>19</v>
      </c>
      <c r="W3" s="100">
        <f t="shared" si="0"/>
        <v>20</v>
      </c>
      <c r="X3" s="100">
        <f t="shared" si="0"/>
        <v>21</v>
      </c>
      <c r="Y3" s="100">
        <f t="shared" si="0"/>
        <v>22</v>
      </c>
      <c r="Z3" s="100">
        <f t="shared" si="0"/>
        <v>23</v>
      </c>
      <c r="AA3" s="100">
        <f t="shared" si="0"/>
        <v>24</v>
      </c>
      <c r="AB3" s="101"/>
      <c r="AC3" s="101"/>
      <c r="AD3" s="102"/>
    </row>
    <row r="4" spans="1:34" ht="5.0999999999999996" customHeight="1" x14ac:dyDescent="0.2"/>
    <row r="5" spans="1:34" ht="15.75" x14ac:dyDescent="0.2">
      <c r="B5" s="46" t="s">
        <v>1</v>
      </c>
    </row>
    <row r="6" spans="1:34" ht="12.75" x14ac:dyDescent="0.2">
      <c r="A6" s="59"/>
      <c r="B6" s="60"/>
      <c r="C6" s="61" t="s">
        <v>7</v>
      </c>
      <c r="D6" s="92" t="s">
        <v>122</v>
      </c>
    </row>
    <row r="7" spans="1:34" ht="12.75" x14ac:dyDescent="0.2">
      <c r="A7" s="59"/>
      <c r="B7" s="60"/>
      <c r="C7" s="59" t="s">
        <v>8</v>
      </c>
      <c r="D7" s="88">
        <v>2500</v>
      </c>
      <c r="E7" s="63">
        <f>+D7*(1+Input!$C$3)</f>
        <v>2625</v>
      </c>
      <c r="F7" s="63">
        <f>+E7*(1+Input!$C$3)</f>
        <v>2756.25</v>
      </c>
      <c r="G7" s="63">
        <f>+F7*(1+Input!$C$3)</f>
        <v>2894.0625</v>
      </c>
      <c r="H7" s="63">
        <f>+G7*(1+Input!$C$3)</f>
        <v>3038.765625</v>
      </c>
      <c r="I7" s="63">
        <f>+H7*(1+Input!$C$3)</f>
        <v>3190.7039062500003</v>
      </c>
      <c r="J7" s="63">
        <f>+I7*(1+Input!$C$3)</f>
        <v>3350.2391015625003</v>
      </c>
      <c r="K7" s="63">
        <f>+J7*(1+Input!$C$3)</f>
        <v>3517.7510566406254</v>
      </c>
      <c r="L7" s="63">
        <f>+K7*(1+Input!$C$3)</f>
        <v>3693.6386094726568</v>
      </c>
      <c r="M7" s="63">
        <f>+L7*(1+Input!$C$3)</f>
        <v>3878.32053994629</v>
      </c>
      <c r="N7" s="63">
        <f>+M7*(1+Input!$C$3)</f>
        <v>4072.2365669436044</v>
      </c>
      <c r="O7" s="63">
        <f>+N7*(1+Input!$C$3)</f>
        <v>4275.8483952907845</v>
      </c>
      <c r="P7" s="63">
        <f>+O7*(1+Input!$C$3)</f>
        <v>4489.6408150553243</v>
      </c>
      <c r="Q7" s="63">
        <f>+P7*(1+Input!$C$3)</f>
        <v>4714.1228558080911</v>
      </c>
      <c r="R7" s="63">
        <f>+Q7*(1+Input!$C$3)</f>
        <v>4949.8289985984957</v>
      </c>
      <c r="S7" s="63">
        <f>+R7*(1+Input!$C$3)</f>
        <v>5197.3204485284205</v>
      </c>
      <c r="T7" s="63">
        <f>+S7*(1+Input!$C$3)</f>
        <v>5457.1864709548418</v>
      </c>
      <c r="U7" s="63">
        <f>+T7*(1+Input!$C$3)</f>
        <v>5730.0457945025837</v>
      </c>
      <c r="V7" s="63">
        <f>+U7*(1+Input!$C$3)</f>
        <v>6016.5480842277129</v>
      </c>
      <c r="W7" s="63">
        <f>+V7*(1+Input!$C$3)</f>
        <v>6317.3754884390992</v>
      </c>
      <c r="X7" s="63">
        <f>+W7*(1+Input!$C$3)</f>
        <v>6633.2442628610543</v>
      </c>
      <c r="Y7" s="63">
        <f>+X7*(1+Input!$C$3)</f>
        <v>6964.9064760041074</v>
      </c>
      <c r="Z7" s="63">
        <f>+Y7*(1+Input!$C$3)</f>
        <v>7313.1517998043128</v>
      </c>
      <c r="AA7" s="63">
        <f>+Z7*(1+Input!$C$3)</f>
        <v>7678.8093897945291</v>
      </c>
      <c r="AE7" s="93" t="s">
        <v>125</v>
      </c>
    </row>
    <row r="8" spans="1:34" ht="12.75" x14ac:dyDescent="0.2">
      <c r="A8" s="59"/>
      <c r="B8" s="60"/>
      <c r="C8" s="59" t="s">
        <v>9</v>
      </c>
      <c r="D8" s="62">
        <v>0.02</v>
      </c>
      <c r="E8" s="62">
        <v>0.02</v>
      </c>
      <c r="F8" s="62">
        <v>0.02</v>
      </c>
      <c r="G8" s="62">
        <v>0.02</v>
      </c>
      <c r="H8" s="62">
        <v>0.02</v>
      </c>
      <c r="I8" s="62">
        <v>0.02</v>
      </c>
      <c r="J8" s="62">
        <v>0.02</v>
      </c>
      <c r="K8" s="62">
        <v>0.02</v>
      </c>
      <c r="L8" s="62">
        <v>0.02</v>
      </c>
      <c r="M8" s="62">
        <v>0.02</v>
      </c>
      <c r="N8" s="62">
        <v>0.02</v>
      </c>
      <c r="O8" s="62">
        <v>0.02</v>
      </c>
      <c r="P8" s="62">
        <v>0.02</v>
      </c>
      <c r="Q8" s="62">
        <v>0.02</v>
      </c>
      <c r="R8" s="62">
        <v>0.02</v>
      </c>
      <c r="S8" s="62">
        <v>0.02</v>
      </c>
      <c r="T8" s="62">
        <v>0.02</v>
      </c>
      <c r="U8" s="62">
        <v>0.02</v>
      </c>
      <c r="V8" s="62">
        <v>0.02</v>
      </c>
      <c r="W8" s="62">
        <v>0.02</v>
      </c>
      <c r="X8" s="62">
        <v>0.02</v>
      </c>
      <c r="Y8" s="62">
        <v>0.02</v>
      </c>
      <c r="Z8" s="62">
        <v>0.02</v>
      </c>
      <c r="AA8" s="62">
        <v>0.02</v>
      </c>
    </row>
    <row r="9" spans="1:34" x14ac:dyDescent="0.2">
      <c r="B9" s="50"/>
      <c r="C9" s="59" t="s">
        <v>10</v>
      </c>
      <c r="D9" s="63">
        <f>+D7*D8</f>
        <v>50</v>
      </c>
      <c r="E9" s="63">
        <f>+E7*E8</f>
        <v>52.5</v>
      </c>
      <c r="F9" s="63">
        <f t="shared" ref="F9:AA9" si="1">+F7*F8</f>
        <v>55.125</v>
      </c>
      <c r="G9" s="63">
        <f t="shared" si="1"/>
        <v>57.881250000000001</v>
      </c>
      <c r="H9" s="63">
        <f t="shared" si="1"/>
        <v>60.775312499999998</v>
      </c>
      <c r="I9" s="63">
        <f t="shared" si="1"/>
        <v>63.814078125000009</v>
      </c>
      <c r="J9" s="63">
        <f t="shared" si="1"/>
        <v>67.004782031250002</v>
      </c>
      <c r="K9" s="63">
        <f t="shared" si="1"/>
        <v>70.35502113281251</v>
      </c>
      <c r="L9" s="63">
        <f t="shared" si="1"/>
        <v>73.87277218945313</v>
      </c>
      <c r="M9" s="63">
        <f t="shared" si="1"/>
        <v>77.566410798925801</v>
      </c>
      <c r="N9" s="63">
        <f t="shared" si="1"/>
        <v>81.444731338872089</v>
      </c>
      <c r="O9" s="63">
        <f t="shared" si="1"/>
        <v>85.51696790581569</v>
      </c>
      <c r="P9" s="63">
        <f t="shared" si="1"/>
        <v>89.792816301106484</v>
      </c>
      <c r="Q9" s="63">
        <f t="shared" si="1"/>
        <v>94.282457116161822</v>
      </c>
      <c r="R9" s="63">
        <f t="shared" si="1"/>
        <v>98.996579971969922</v>
      </c>
      <c r="S9" s="63">
        <f t="shared" si="1"/>
        <v>103.94640897056841</v>
      </c>
      <c r="T9" s="63">
        <f t="shared" si="1"/>
        <v>109.14372941909684</v>
      </c>
      <c r="U9" s="63">
        <f t="shared" si="1"/>
        <v>114.60091589005168</v>
      </c>
      <c r="V9" s="63">
        <f t="shared" si="1"/>
        <v>120.33096168455427</v>
      </c>
      <c r="W9" s="63">
        <f t="shared" si="1"/>
        <v>126.34750976878199</v>
      </c>
      <c r="X9" s="63">
        <f t="shared" si="1"/>
        <v>132.6648852572211</v>
      </c>
      <c r="Y9" s="63">
        <f t="shared" si="1"/>
        <v>139.29812952008214</v>
      </c>
      <c r="Z9" s="63">
        <f t="shared" si="1"/>
        <v>146.26303599608624</v>
      </c>
      <c r="AA9" s="63">
        <f t="shared" si="1"/>
        <v>153.57618779589058</v>
      </c>
    </row>
    <row r="10" spans="1:34" x14ac:dyDescent="0.2">
      <c r="B10" s="50"/>
      <c r="C10" s="59" t="s">
        <v>11</v>
      </c>
      <c r="D10" s="80">
        <f>$AH$10*$AH$11</f>
        <v>48</v>
      </c>
      <c r="E10" s="80">
        <f t="shared" ref="E10:AA10" si="2">$AH$10*$AH$11</f>
        <v>48</v>
      </c>
      <c r="F10" s="80">
        <f t="shared" si="2"/>
        <v>48</v>
      </c>
      <c r="G10" s="80">
        <f t="shared" si="2"/>
        <v>48</v>
      </c>
      <c r="H10" s="80">
        <f t="shared" si="2"/>
        <v>48</v>
      </c>
      <c r="I10" s="80">
        <f t="shared" si="2"/>
        <v>48</v>
      </c>
      <c r="J10" s="80">
        <f t="shared" si="2"/>
        <v>48</v>
      </c>
      <c r="K10" s="80">
        <f t="shared" si="2"/>
        <v>48</v>
      </c>
      <c r="L10" s="80">
        <f t="shared" si="2"/>
        <v>48</v>
      </c>
      <c r="M10" s="80">
        <f t="shared" si="2"/>
        <v>48</v>
      </c>
      <c r="N10" s="80">
        <f t="shared" si="2"/>
        <v>48</v>
      </c>
      <c r="O10" s="80">
        <f t="shared" si="2"/>
        <v>48</v>
      </c>
      <c r="P10" s="80">
        <f t="shared" si="2"/>
        <v>48</v>
      </c>
      <c r="Q10" s="80">
        <f t="shared" si="2"/>
        <v>48</v>
      </c>
      <c r="R10" s="80">
        <f t="shared" si="2"/>
        <v>48</v>
      </c>
      <c r="S10" s="80">
        <f t="shared" si="2"/>
        <v>48</v>
      </c>
      <c r="T10" s="80">
        <f t="shared" si="2"/>
        <v>48</v>
      </c>
      <c r="U10" s="80">
        <f t="shared" si="2"/>
        <v>48</v>
      </c>
      <c r="V10" s="80">
        <f t="shared" si="2"/>
        <v>48</v>
      </c>
      <c r="W10" s="80">
        <f t="shared" si="2"/>
        <v>48</v>
      </c>
      <c r="X10" s="80">
        <f t="shared" si="2"/>
        <v>48</v>
      </c>
      <c r="Y10" s="80">
        <f t="shared" si="2"/>
        <v>48</v>
      </c>
      <c r="Z10" s="80">
        <f t="shared" si="2"/>
        <v>48</v>
      </c>
      <c r="AA10" s="80">
        <f t="shared" si="2"/>
        <v>48</v>
      </c>
      <c r="AD10" s="83"/>
      <c r="AE10" s="86" t="s">
        <v>117</v>
      </c>
      <c r="AH10" s="18">
        <v>1600</v>
      </c>
    </row>
    <row r="11" spans="1:34" x14ac:dyDescent="0.2">
      <c r="B11" s="50"/>
      <c r="C11" s="48" t="s">
        <v>112</v>
      </c>
      <c r="D11" s="47">
        <f>+D9*D10</f>
        <v>2400</v>
      </c>
      <c r="E11" s="47">
        <f t="shared" ref="E11:AA11" si="3">+E9*E10</f>
        <v>2520</v>
      </c>
      <c r="F11" s="47">
        <f t="shared" si="3"/>
        <v>2646</v>
      </c>
      <c r="G11" s="47">
        <f t="shared" si="3"/>
        <v>2778.3</v>
      </c>
      <c r="H11" s="47">
        <f t="shared" si="3"/>
        <v>2917.2150000000001</v>
      </c>
      <c r="I11" s="47">
        <f t="shared" si="3"/>
        <v>3063.0757500000004</v>
      </c>
      <c r="J11" s="47">
        <f t="shared" si="3"/>
        <v>3216.2295375000003</v>
      </c>
      <c r="K11" s="47">
        <f t="shared" si="3"/>
        <v>3377.0410143750005</v>
      </c>
      <c r="L11" s="47">
        <f t="shared" si="3"/>
        <v>3545.89306509375</v>
      </c>
      <c r="M11" s="47">
        <f t="shared" si="3"/>
        <v>3723.1877183484385</v>
      </c>
      <c r="N11" s="47">
        <f t="shared" si="3"/>
        <v>3909.3471042658603</v>
      </c>
      <c r="O11" s="47">
        <f t="shared" si="3"/>
        <v>4104.8144594791529</v>
      </c>
      <c r="P11" s="47">
        <f t="shared" si="3"/>
        <v>4310.0551824531112</v>
      </c>
      <c r="Q11" s="47">
        <f t="shared" si="3"/>
        <v>4525.5579415757675</v>
      </c>
      <c r="R11" s="47">
        <f t="shared" si="3"/>
        <v>4751.835838654556</v>
      </c>
      <c r="S11" s="47">
        <f t="shared" si="3"/>
        <v>4989.4276305872836</v>
      </c>
      <c r="T11" s="47">
        <f t="shared" si="3"/>
        <v>5238.899012116648</v>
      </c>
      <c r="U11" s="47">
        <f t="shared" si="3"/>
        <v>5500.8439627224807</v>
      </c>
      <c r="V11" s="47">
        <f t="shared" si="3"/>
        <v>5775.8861608586049</v>
      </c>
      <c r="W11" s="47">
        <f t="shared" si="3"/>
        <v>6064.6804689015353</v>
      </c>
      <c r="X11" s="47">
        <f t="shared" si="3"/>
        <v>6367.9144923466129</v>
      </c>
      <c r="Y11" s="47">
        <f t="shared" si="3"/>
        <v>6686.3102169639424</v>
      </c>
      <c r="Z11" s="47">
        <f t="shared" si="3"/>
        <v>7020.6257278121393</v>
      </c>
      <c r="AA11" s="47">
        <f t="shared" si="3"/>
        <v>7371.6570142027476</v>
      </c>
      <c r="AE11" s="86" t="s">
        <v>118</v>
      </c>
      <c r="AH11" s="89">
        <v>0.03</v>
      </c>
    </row>
    <row r="12" spans="1:34" x14ac:dyDescent="0.2">
      <c r="B12" s="50"/>
    </row>
    <row r="13" spans="1:34" ht="15.75" x14ac:dyDescent="0.2">
      <c r="B13" s="46" t="s">
        <v>12</v>
      </c>
    </row>
    <row r="14" spans="1:34" x14ac:dyDescent="0.2">
      <c r="B14" s="50"/>
      <c r="C14" s="66" t="s">
        <v>2</v>
      </c>
    </row>
    <row r="15" spans="1:34" x14ac:dyDescent="0.2">
      <c r="B15" s="50"/>
      <c r="C15" s="79" t="s">
        <v>114</v>
      </c>
      <c r="D15" s="80">
        <v>500</v>
      </c>
      <c r="E15" s="80">
        <f>+PnL!D15*(1+Input!$C$4)</f>
        <v>525</v>
      </c>
      <c r="F15" s="80">
        <f>+PnL!E15*(1+Input!$C$4)</f>
        <v>551.25</v>
      </c>
      <c r="G15" s="80">
        <f>+PnL!F15*(1+Input!$C$4)</f>
        <v>578.8125</v>
      </c>
      <c r="H15" s="80">
        <f>+PnL!G15*(1+Input!$C$4)</f>
        <v>607.75312500000007</v>
      </c>
      <c r="I15" s="80">
        <f>+PnL!H15*(1+Input!$C$4)</f>
        <v>638.14078125000015</v>
      </c>
      <c r="J15" s="80">
        <f>+PnL!I15*(1+Input!$C$4)</f>
        <v>670.04782031250022</v>
      </c>
      <c r="K15" s="80">
        <f>+PnL!J15*(1+Input!$C$4)</f>
        <v>703.55021132812522</v>
      </c>
      <c r="L15" s="80">
        <f>+PnL!K15*(1+Input!$C$4)</f>
        <v>738.72772189453156</v>
      </c>
      <c r="M15" s="80">
        <f>+PnL!L15*(1+Input!$C$4)</f>
        <v>775.66410798925813</v>
      </c>
      <c r="N15" s="80">
        <f>+PnL!M15*(1+Input!$C$4)</f>
        <v>814.44731338872111</v>
      </c>
      <c r="O15" s="80">
        <f>+PnL!N15*(1+Input!$C$4)</f>
        <v>855.16967905815716</v>
      </c>
      <c r="P15" s="80">
        <f>+PnL!O15*(1+Input!$C$4)</f>
        <v>897.92816301106507</v>
      </c>
      <c r="Q15" s="80">
        <f>+PnL!P15*(1+Input!$C$4)</f>
        <v>942.82457116161834</v>
      </c>
      <c r="R15" s="80">
        <f>+PnL!Q15*(1+Input!$C$4)</f>
        <v>989.96579971969925</v>
      </c>
      <c r="S15" s="80">
        <f>+PnL!R15*(1+Input!$C$4)</f>
        <v>1039.4640897056843</v>
      </c>
      <c r="T15" s="80">
        <f>+PnL!S15*(1+Input!$C$4)</f>
        <v>1091.4372941909685</v>
      </c>
      <c r="U15" s="80">
        <f>+PnL!T15*(1+Input!$C$4)</f>
        <v>1146.0091589005169</v>
      </c>
      <c r="V15" s="80">
        <f>+PnL!U15*(1+Input!$C$4)</f>
        <v>1203.3096168455429</v>
      </c>
      <c r="W15" s="80">
        <f>+PnL!V15*(1+Input!$C$4)</f>
        <v>1263.4750976878202</v>
      </c>
      <c r="X15" s="80">
        <f>+PnL!W15*(1+Input!$C$4)</f>
        <v>1326.6488525722111</v>
      </c>
      <c r="Y15" s="80">
        <f>+PnL!X15*(1+Input!$C$4)</f>
        <v>1392.9812952008217</v>
      </c>
      <c r="Z15" s="80">
        <f>+PnL!Y15*(1+Input!$C$4)</f>
        <v>1462.630359960863</v>
      </c>
      <c r="AA15" s="80">
        <f>+PnL!Z15*(1+Input!$C$4)</f>
        <v>1535.7618779589061</v>
      </c>
      <c r="AE15" s="93" t="s">
        <v>123</v>
      </c>
    </row>
    <row r="16" spans="1:34" x14ac:dyDescent="0.2">
      <c r="B16" s="50"/>
      <c r="C16" s="79" t="s">
        <v>113</v>
      </c>
      <c r="D16" s="80">
        <v>250</v>
      </c>
      <c r="E16" s="80">
        <v>250</v>
      </c>
      <c r="F16" s="80">
        <v>250</v>
      </c>
      <c r="G16" s="80">
        <v>250</v>
      </c>
      <c r="H16" s="80">
        <v>250</v>
      </c>
      <c r="I16" s="80">
        <v>250</v>
      </c>
      <c r="J16" s="80">
        <v>250</v>
      </c>
      <c r="K16" s="80">
        <v>250</v>
      </c>
      <c r="L16" s="80">
        <v>250</v>
      </c>
      <c r="M16" s="80">
        <v>250</v>
      </c>
      <c r="N16" s="80">
        <v>250</v>
      </c>
      <c r="O16" s="80">
        <v>250</v>
      </c>
      <c r="P16" s="80">
        <v>250</v>
      </c>
      <c r="Q16" s="80">
        <v>250</v>
      </c>
      <c r="R16" s="80">
        <v>250</v>
      </c>
      <c r="S16" s="80">
        <v>250</v>
      </c>
      <c r="T16" s="80">
        <v>250</v>
      </c>
      <c r="U16" s="80">
        <v>250</v>
      </c>
      <c r="V16" s="80">
        <v>250</v>
      </c>
      <c r="W16" s="80">
        <v>250</v>
      </c>
      <c r="X16" s="80">
        <v>250</v>
      </c>
      <c r="Y16" s="80">
        <v>250</v>
      </c>
      <c r="Z16" s="80">
        <v>250</v>
      </c>
      <c r="AA16" s="80">
        <v>250</v>
      </c>
      <c r="AE16" s="93" t="s">
        <v>124</v>
      </c>
    </row>
    <row r="17" spans="2:31" x14ac:dyDescent="0.2">
      <c r="B17" s="50"/>
      <c r="C17" s="81" t="s">
        <v>13</v>
      </c>
      <c r="D17" s="82">
        <f>+D15+D16</f>
        <v>750</v>
      </c>
      <c r="E17" s="82">
        <f t="shared" ref="E17:AA17" si="4">+E15+E16</f>
        <v>775</v>
      </c>
      <c r="F17" s="82">
        <f t="shared" si="4"/>
        <v>801.25</v>
      </c>
      <c r="G17" s="82">
        <f t="shared" si="4"/>
        <v>828.8125</v>
      </c>
      <c r="H17" s="82">
        <f t="shared" si="4"/>
        <v>857.75312500000007</v>
      </c>
      <c r="I17" s="82">
        <f t="shared" si="4"/>
        <v>888.14078125000015</v>
      </c>
      <c r="J17" s="82">
        <f t="shared" si="4"/>
        <v>920.04782031250022</v>
      </c>
      <c r="K17" s="82">
        <f t="shared" si="4"/>
        <v>953.55021132812522</v>
      </c>
      <c r="L17" s="82">
        <f t="shared" si="4"/>
        <v>988.72772189453156</v>
      </c>
      <c r="M17" s="82">
        <f t="shared" si="4"/>
        <v>1025.6641079892581</v>
      </c>
      <c r="N17" s="82">
        <f t="shared" si="4"/>
        <v>1064.4473133887211</v>
      </c>
      <c r="O17" s="82">
        <f t="shared" si="4"/>
        <v>1105.1696790581573</v>
      </c>
      <c r="P17" s="82">
        <f t="shared" si="4"/>
        <v>1147.928163011065</v>
      </c>
      <c r="Q17" s="82">
        <f t="shared" si="4"/>
        <v>1192.8245711616182</v>
      </c>
      <c r="R17" s="82">
        <f t="shared" si="4"/>
        <v>1239.9657997196991</v>
      </c>
      <c r="S17" s="82">
        <f t="shared" si="4"/>
        <v>1289.4640897056843</v>
      </c>
      <c r="T17" s="82">
        <f t="shared" si="4"/>
        <v>1341.4372941909685</v>
      </c>
      <c r="U17" s="82">
        <f t="shared" si="4"/>
        <v>1396.0091589005169</v>
      </c>
      <c r="V17" s="82">
        <f t="shared" si="4"/>
        <v>1453.3096168455429</v>
      </c>
      <c r="W17" s="82">
        <f t="shared" si="4"/>
        <v>1513.4750976878202</v>
      </c>
      <c r="X17" s="82">
        <f t="shared" si="4"/>
        <v>1576.6488525722111</v>
      </c>
      <c r="Y17" s="82">
        <f t="shared" si="4"/>
        <v>1642.9812952008217</v>
      </c>
      <c r="Z17" s="82">
        <f t="shared" si="4"/>
        <v>1712.630359960863</v>
      </c>
      <c r="AA17" s="82">
        <f t="shared" si="4"/>
        <v>1785.7618779589061</v>
      </c>
    </row>
    <row r="18" spans="2:31" x14ac:dyDescent="0.2">
      <c r="B18" s="50"/>
    </row>
    <row r="19" spans="2:31" x14ac:dyDescent="0.2">
      <c r="B19" s="50"/>
      <c r="C19" s="66" t="s">
        <v>3</v>
      </c>
    </row>
    <row r="20" spans="2:31" x14ac:dyDescent="0.2">
      <c r="B20" s="50"/>
      <c r="C20" s="66" t="s">
        <v>14</v>
      </c>
      <c r="AE20" s="94"/>
    </row>
    <row r="21" spans="2:31" x14ac:dyDescent="0.2">
      <c r="B21" s="50"/>
      <c r="C21" s="79" t="s">
        <v>116</v>
      </c>
      <c r="D21" s="63">
        <v>3</v>
      </c>
      <c r="E21" s="63">
        <v>3</v>
      </c>
      <c r="F21" s="63">
        <v>3</v>
      </c>
      <c r="G21" s="63">
        <v>3</v>
      </c>
      <c r="H21" s="63">
        <v>3</v>
      </c>
      <c r="I21" s="63">
        <v>3</v>
      </c>
      <c r="J21" s="63">
        <v>3</v>
      </c>
      <c r="K21" s="63">
        <v>3</v>
      </c>
      <c r="L21" s="63">
        <v>3</v>
      </c>
      <c r="M21" s="63">
        <v>3</v>
      </c>
      <c r="N21" s="63">
        <v>3</v>
      </c>
      <c r="O21" s="63">
        <v>3</v>
      </c>
      <c r="P21" s="63">
        <f>+O21*2</f>
        <v>6</v>
      </c>
      <c r="Q21" s="63">
        <v>6</v>
      </c>
      <c r="R21" s="63">
        <v>6</v>
      </c>
      <c r="S21" s="63">
        <v>6</v>
      </c>
      <c r="T21" s="63">
        <v>6</v>
      </c>
      <c r="U21" s="63">
        <v>6</v>
      </c>
      <c r="V21" s="63">
        <v>6</v>
      </c>
      <c r="W21" s="63">
        <v>6</v>
      </c>
      <c r="X21" s="63">
        <v>6</v>
      </c>
      <c r="Y21" s="63">
        <v>6</v>
      </c>
      <c r="Z21" s="63">
        <v>6</v>
      </c>
      <c r="AA21" s="63">
        <v>6</v>
      </c>
      <c r="AE21" s="94"/>
    </row>
    <row r="22" spans="2:31" x14ac:dyDescent="0.2">
      <c r="B22" s="50"/>
      <c r="C22" s="59" t="s">
        <v>15</v>
      </c>
      <c r="D22" s="63">
        <v>0.01</v>
      </c>
      <c r="E22" s="63">
        <v>0.01</v>
      </c>
      <c r="F22" s="63">
        <v>0.01</v>
      </c>
      <c r="G22" s="63">
        <v>0.01</v>
      </c>
      <c r="H22" s="63">
        <v>0.01</v>
      </c>
      <c r="I22" s="63">
        <v>0.01</v>
      </c>
      <c r="J22" s="63">
        <v>0.01</v>
      </c>
      <c r="K22" s="63">
        <v>0.01</v>
      </c>
      <c r="L22" s="63">
        <v>0.01</v>
      </c>
      <c r="M22" s="63">
        <v>0.01</v>
      </c>
      <c r="N22" s="63">
        <v>0.01</v>
      </c>
      <c r="O22" s="63">
        <v>0.01</v>
      </c>
      <c r="P22" s="63">
        <v>0.01</v>
      </c>
      <c r="Q22" s="63">
        <v>0.01</v>
      </c>
      <c r="R22" s="63">
        <v>0.01</v>
      </c>
      <c r="S22" s="63">
        <v>0.01</v>
      </c>
      <c r="T22" s="63">
        <v>0.01</v>
      </c>
      <c r="U22" s="63">
        <v>0.01</v>
      </c>
      <c r="V22" s="63">
        <v>0.01</v>
      </c>
      <c r="W22" s="63">
        <v>0.01</v>
      </c>
      <c r="X22" s="63">
        <v>0.01</v>
      </c>
      <c r="Y22" s="63">
        <v>0.01</v>
      </c>
      <c r="Z22" s="63">
        <v>0.01</v>
      </c>
      <c r="AA22" s="63">
        <v>0.01</v>
      </c>
    </row>
    <row r="23" spans="2:31" x14ac:dyDescent="0.2">
      <c r="B23" s="50"/>
      <c r="C23" s="57" t="s">
        <v>16</v>
      </c>
      <c r="D23" s="58">
        <f>+D21*D22*D7</f>
        <v>75</v>
      </c>
      <c r="E23" s="58">
        <f t="shared" ref="E23:AA23" si="5">+E21*E22*E7</f>
        <v>78.75</v>
      </c>
      <c r="F23" s="58">
        <f t="shared" si="5"/>
        <v>82.6875</v>
      </c>
      <c r="G23" s="58">
        <f t="shared" si="5"/>
        <v>86.821874999999991</v>
      </c>
      <c r="H23" s="58">
        <f t="shared" si="5"/>
        <v>91.16296874999999</v>
      </c>
      <c r="I23" s="58">
        <f t="shared" si="5"/>
        <v>95.721117187499999</v>
      </c>
      <c r="J23" s="58">
        <f t="shared" si="5"/>
        <v>100.50717304687501</v>
      </c>
      <c r="K23" s="58">
        <f t="shared" si="5"/>
        <v>105.53253169921875</v>
      </c>
      <c r="L23" s="58">
        <f t="shared" si="5"/>
        <v>110.8091582841797</v>
      </c>
      <c r="M23" s="58">
        <f t="shared" si="5"/>
        <v>116.34961619838869</v>
      </c>
      <c r="N23" s="58">
        <f t="shared" si="5"/>
        <v>122.16709700830813</v>
      </c>
      <c r="O23" s="58">
        <f t="shared" si="5"/>
        <v>128.27545185872353</v>
      </c>
      <c r="P23" s="58">
        <f t="shared" si="5"/>
        <v>269.37844890331945</v>
      </c>
      <c r="Q23" s="58">
        <f t="shared" si="5"/>
        <v>282.84737134848547</v>
      </c>
      <c r="R23" s="58">
        <f t="shared" si="5"/>
        <v>296.98973991590975</v>
      </c>
      <c r="S23" s="58">
        <f t="shared" si="5"/>
        <v>311.83922691170523</v>
      </c>
      <c r="T23" s="58">
        <f t="shared" si="5"/>
        <v>327.4311882572905</v>
      </c>
      <c r="U23" s="58">
        <f t="shared" si="5"/>
        <v>343.80274767015499</v>
      </c>
      <c r="V23" s="58">
        <f t="shared" si="5"/>
        <v>360.99288505366275</v>
      </c>
      <c r="W23" s="58">
        <f t="shared" si="5"/>
        <v>379.04252930634595</v>
      </c>
      <c r="X23" s="58">
        <f t="shared" si="5"/>
        <v>397.99465577166325</v>
      </c>
      <c r="Y23" s="58">
        <f t="shared" si="5"/>
        <v>417.89438856024645</v>
      </c>
      <c r="Z23" s="58">
        <f t="shared" si="5"/>
        <v>438.78910798825876</v>
      </c>
      <c r="AA23" s="58">
        <f t="shared" si="5"/>
        <v>460.72856338767173</v>
      </c>
    </row>
    <row r="24" spans="2:31" x14ac:dyDescent="0.2">
      <c r="B24" s="50"/>
    </row>
    <row r="25" spans="2:31" x14ac:dyDescent="0.2">
      <c r="B25" s="50"/>
      <c r="C25" s="67" t="s">
        <v>4</v>
      </c>
    </row>
    <row r="26" spans="2:31" x14ac:dyDescent="0.2">
      <c r="B26" s="50"/>
      <c r="C26" s="59" t="s">
        <v>17</v>
      </c>
      <c r="D26" s="63">
        <v>4</v>
      </c>
      <c r="E26" s="63">
        <v>4</v>
      </c>
      <c r="F26" s="63">
        <v>4</v>
      </c>
      <c r="G26" s="63">
        <v>4</v>
      </c>
      <c r="H26" s="63">
        <v>4</v>
      </c>
      <c r="I26" s="63">
        <v>4</v>
      </c>
      <c r="J26" s="63">
        <v>4</v>
      </c>
      <c r="K26" s="63">
        <v>4</v>
      </c>
      <c r="L26" s="63">
        <v>4</v>
      </c>
      <c r="M26" s="63">
        <v>4</v>
      </c>
      <c r="N26" s="63">
        <v>4</v>
      </c>
      <c r="O26" s="63">
        <v>4</v>
      </c>
      <c r="P26" s="63">
        <v>4</v>
      </c>
      <c r="Q26" s="63">
        <v>4</v>
      </c>
      <c r="R26" s="63">
        <v>4</v>
      </c>
      <c r="S26" s="63">
        <v>4</v>
      </c>
      <c r="T26" s="63">
        <v>4</v>
      </c>
      <c r="U26" s="63">
        <v>4</v>
      </c>
      <c r="V26" s="63">
        <v>4</v>
      </c>
      <c r="W26" s="63">
        <v>4</v>
      </c>
      <c r="X26" s="63">
        <v>4</v>
      </c>
      <c r="Y26" s="63">
        <v>4</v>
      </c>
      <c r="Z26" s="63">
        <v>4</v>
      </c>
      <c r="AA26" s="63">
        <v>4</v>
      </c>
    </row>
    <row r="27" spans="2:31" x14ac:dyDescent="0.2">
      <c r="B27" s="50"/>
      <c r="C27" s="59" t="s">
        <v>18</v>
      </c>
      <c r="D27" s="63">
        <v>2500</v>
      </c>
      <c r="E27" s="63">
        <v>2500</v>
      </c>
      <c r="F27" s="63">
        <v>2500</v>
      </c>
      <c r="G27" s="63">
        <v>2500</v>
      </c>
      <c r="H27" s="63">
        <v>2500</v>
      </c>
      <c r="I27" s="63">
        <v>2500</v>
      </c>
      <c r="J27" s="63">
        <v>2500</v>
      </c>
      <c r="K27" s="63">
        <v>2500</v>
      </c>
      <c r="L27" s="63">
        <v>2500</v>
      </c>
      <c r="M27" s="63">
        <v>2500</v>
      </c>
      <c r="N27" s="63">
        <v>2500</v>
      </c>
      <c r="O27" s="63">
        <v>2500</v>
      </c>
      <c r="P27" s="63">
        <v>3000</v>
      </c>
      <c r="Q27" s="63">
        <v>3000</v>
      </c>
      <c r="R27" s="63">
        <v>3000</v>
      </c>
      <c r="S27" s="63">
        <v>3000</v>
      </c>
      <c r="T27" s="63">
        <v>3000</v>
      </c>
      <c r="U27" s="63">
        <v>3000</v>
      </c>
      <c r="V27" s="63">
        <v>3000</v>
      </c>
      <c r="W27" s="63">
        <v>3000</v>
      </c>
      <c r="X27" s="63">
        <v>3000</v>
      </c>
      <c r="Y27" s="63">
        <v>3000</v>
      </c>
      <c r="Z27" s="63">
        <v>3000</v>
      </c>
      <c r="AA27" s="63">
        <v>3000</v>
      </c>
      <c r="AE27" s="116" t="s">
        <v>136</v>
      </c>
    </row>
    <row r="28" spans="2:31" x14ac:dyDescent="0.2">
      <c r="B28" s="50"/>
      <c r="C28" s="59" t="s">
        <v>19</v>
      </c>
      <c r="D28" s="68">
        <f>+D27*1.27</f>
        <v>3175</v>
      </c>
      <c r="E28" s="68">
        <f t="shared" ref="E28:AA28" si="6">+E27*1.27</f>
        <v>3175</v>
      </c>
      <c r="F28" s="68">
        <f t="shared" si="6"/>
        <v>3175</v>
      </c>
      <c r="G28" s="68">
        <f t="shared" si="6"/>
        <v>3175</v>
      </c>
      <c r="H28" s="68">
        <f t="shared" si="6"/>
        <v>3175</v>
      </c>
      <c r="I28" s="68">
        <f t="shared" si="6"/>
        <v>3175</v>
      </c>
      <c r="J28" s="68">
        <f t="shared" si="6"/>
        <v>3175</v>
      </c>
      <c r="K28" s="68">
        <f t="shared" si="6"/>
        <v>3175</v>
      </c>
      <c r="L28" s="68">
        <f t="shared" si="6"/>
        <v>3175</v>
      </c>
      <c r="M28" s="68">
        <f t="shared" si="6"/>
        <v>3175</v>
      </c>
      <c r="N28" s="68">
        <f t="shared" si="6"/>
        <v>3175</v>
      </c>
      <c r="O28" s="68">
        <f t="shared" si="6"/>
        <v>3175</v>
      </c>
      <c r="P28" s="68">
        <f t="shared" si="6"/>
        <v>3810</v>
      </c>
      <c r="Q28" s="68">
        <f t="shared" si="6"/>
        <v>3810</v>
      </c>
      <c r="R28" s="68">
        <f t="shared" si="6"/>
        <v>3810</v>
      </c>
      <c r="S28" s="68">
        <f t="shared" si="6"/>
        <v>3810</v>
      </c>
      <c r="T28" s="68">
        <f t="shared" si="6"/>
        <v>3810</v>
      </c>
      <c r="U28" s="68">
        <f t="shared" si="6"/>
        <v>3810</v>
      </c>
      <c r="V28" s="68">
        <f t="shared" si="6"/>
        <v>3810</v>
      </c>
      <c r="W28" s="68">
        <f t="shared" si="6"/>
        <v>3810</v>
      </c>
      <c r="X28" s="68">
        <f t="shared" si="6"/>
        <v>3810</v>
      </c>
      <c r="Y28" s="68">
        <f t="shared" si="6"/>
        <v>3810</v>
      </c>
      <c r="Z28" s="68">
        <f t="shared" si="6"/>
        <v>3810</v>
      </c>
      <c r="AA28" s="68">
        <f t="shared" si="6"/>
        <v>3810</v>
      </c>
    </row>
    <row r="29" spans="2:31" x14ac:dyDescent="0.2">
      <c r="B29" s="50"/>
      <c r="C29" s="51" t="s">
        <v>20</v>
      </c>
      <c r="D29" s="52">
        <f>+D28*D26</f>
        <v>12700</v>
      </c>
      <c r="E29" s="52">
        <f t="shared" ref="E29:AA29" si="7">+E28*E26</f>
        <v>12700</v>
      </c>
      <c r="F29" s="52">
        <f t="shared" si="7"/>
        <v>12700</v>
      </c>
      <c r="G29" s="52">
        <f t="shared" si="7"/>
        <v>12700</v>
      </c>
      <c r="H29" s="52">
        <f t="shared" si="7"/>
        <v>12700</v>
      </c>
      <c r="I29" s="52">
        <f t="shared" si="7"/>
        <v>12700</v>
      </c>
      <c r="J29" s="52">
        <f t="shared" si="7"/>
        <v>12700</v>
      </c>
      <c r="K29" s="52">
        <f t="shared" si="7"/>
        <v>12700</v>
      </c>
      <c r="L29" s="52">
        <f t="shared" si="7"/>
        <v>12700</v>
      </c>
      <c r="M29" s="52">
        <f t="shared" si="7"/>
        <v>12700</v>
      </c>
      <c r="N29" s="52">
        <f t="shared" si="7"/>
        <v>12700</v>
      </c>
      <c r="O29" s="52">
        <f t="shared" si="7"/>
        <v>12700</v>
      </c>
      <c r="P29" s="52">
        <f t="shared" si="7"/>
        <v>15240</v>
      </c>
      <c r="Q29" s="52">
        <f t="shared" si="7"/>
        <v>15240</v>
      </c>
      <c r="R29" s="52">
        <f t="shared" si="7"/>
        <v>15240</v>
      </c>
      <c r="S29" s="52">
        <f t="shared" si="7"/>
        <v>15240</v>
      </c>
      <c r="T29" s="52">
        <f t="shared" si="7"/>
        <v>15240</v>
      </c>
      <c r="U29" s="52">
        <f t="shared" si="7"/>
        <v>15240</v>
      </c>
      <c r="V29" s="52">
        <f t="shared" si="7"/>
        <v>15240</v>
      </c>
      <c r="W29" s="52">
        <f t="shared" si="7"/>
        <v>15240</v>
      </c>
      <c r="X29" s="52">
        <f t="shared" si="7"/>
        <v>15240</v>
      </c>
      <c r="Y29" s="52">
        <f t="shared" si="7"/>
        <v>15240</v>
      </c>
      <c r="Z29" s="52">
        <f t="shared" si="7"/>
        <v>15240</v>
      </c>
      <c r="AA29" s="52">
        <f t="shared" si="7"/>
        <v>15240</v>
      </c>
    </row>
    <row r="30" spans="2:31" ht="5.0999999999999996" customHeight="1" x14ac:dyDescent="0.2">
      <c r="B30" s="50"/>
      <c r="C30" s="53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spans="2:31" x14ac:dyDescent="0.2">
      <c r="B31" s="50"/>
      <c r="C31" s="69" t="s">
        <v>21</v>
      </c>
      <c r="D31" s="54">
        <v>0</v>
      </c>
      <c r="E31" s="54">
        <v>0</v>
      </c>
      <c r="F31" s="54">
        <v>0</v>
      </c>
      <c r="G31" s="54">
        <v>0</v>
      </c>
      <c r="H31" s="54">
        <v>0</v>
      </c>
      <c r="I31" s="54">
        <v>0</v>
      </c>
      <c r="J31" s="54">
        <v>0</v>
      </c>
      <c r="K31" s="54">
        <v>0</v>
      </c>
      <c r="L31" s="54">
        <v>0</v>
      </c>
      <c r="M31" s="54">
        <v>0</v>
      </c>
      <c r="N31" s="54">
        <v>0</v>
      </c>
      <c r="O31" s="54">
        <v>0</v>
      </c>
      <c r="P31" s="54">
        <v>0</v>
      </c>
      <c r="Q31" s="54">
        <v>0</v>
      </c>
      <c r="R31" s="54">
        <v>0</v>
      </c>
      <c r="S31" s="54">
        <v>0</v>
      </c>
      <c r="T31" s="54">
        <v>0</v>
      </c>
      <c r="U31" s="54">
        <v>0</v>
      </c>
      <c r="V31" s="54">
        <v>0</v>
      </c>
      <c r="W31" s="54">
        <v>0</v>
      </c>
      <c r="X31" s="54">
        <v>0</v>
      </c>
      <c r="Y31" s="54">
        <v>0</v>
      </c>
      <c r="Z31" s="54">
        <v>0</v>
      </c>
      <c r="AA31" s="54">
        <v>0</v>
      </c>
    </row>
    <row r="32" spans="2:31" x14ac:dyDescent="0.2">
      <c r="B32" s="50"/>
      <c r="C32" s="69" t="s">
        <v>22</v>
      </c>
      <c r="D32" s="54">
        <v>0</v>
      </c>
      <c r="E32" s="54">
        <v>0</v>
      </c>
      <c r="F32" s="54">
        <v>0</v>
      </c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54">
        <v>0</v>
      </c>
      <c r="M32" s="54">
        <v>0</v>
      </c>
      <c r="N32" s="54">
        <v>0</v>
      </c>
      <c r="O32" s="54">
        <v>0</v>
      </c>
      <c r="P32" s="54">
        <v>0</v>
      </c>
      <c r="Q32" s="54">
        <v>0</v>
      </c>
      <c r="R32" s="54">
        <v>0</v>
      </c>
      <c r="S32" s="54">
        <v>0</v>
      </c>
      <c r="T32" s="54">
        <v>0</v>
      </c>
      <c r="U32" s="54">
        <v>0</v>
      </c>
      <c r="V32" s="54">
        <v>0</v>
      </c>
      <c r="W32" s="54">
        <v>0</v>
      </c>
      <c r="X32" s="54">
        <v>0</v>
      </c>
      <c r="Y32" s="54">
        <v>0</v>
      </c>
      <c r="Z32" s="54">
        <v>0</v>
      </c>
      <c r="AA32" s="54">
        <v>0</v>
      </c>
    </row>
    <row r="33" spans="2:31" x14ac:dyDescent="0.2">
      <c r="B33" s="50"/>
      <c r="C33" s="70" t="s">
        <v>19</v>
      </c>
      <c r="D33" s="55">
        <f>+D31*1.27</f>
        <v>0</v>
      </c>
      <c r="E33" s="55">
        <f t="shared" ref="E33:AA33" si="8">+E31*1.27</f>
        <v>0</v>
      </c>
      <c r="F33" s="55">
        <f t="shared" si="8"/>
        <v>0</v>
      </c>
      <c r="G33" s="55">
        <f t="shared" si="8"/>
        <v>0</v>
      </c>
      <c r="H33" s="55">
        <f t="shared" si="8"/>
        <v>0</v>
      </c>
      <c r="I33" s="55">
        <f t="shared" si="8"/>
        <v>0</v>
      </c>
      <c r="J33" s="55">
        <f t="shared" si="8"/>
        <v>0</v>
      </c>
      <c r="K33" s="55">
        <f t="shared" si="8"/>
        <v>0</v>
      </c>
      <c r="L33" s="55">
        <f t="shared" si="8"/>
        <v>0</v>
      </c>
      <c r="M33" s="55">
        <f t="shared" si="8"/>
        <v>0</v>
      </c>
      <c r="N33" s="55">
        <f t="shared" si="8"/>
        <v>0</v>
      </c>
      <c r="O33" s="55">
        <f t="shared" si="8"/>
        <v>0</v>
      </c>
      <c r="P33" s="55">
        <f t="shared" si="8"/>
        <v>0</v>
      </c>
      <c r="Q33" s="55">
        <f t="shared" si="8"/>
        <v>0</v>
      </c>
      <c r="R33" s="55">
        <f t="shared" si="8"/>
        <v>0</v>
      </c>
      <c r="S33" s="55">
        <f t="shared" si="8"/>
        <v>0</v>
      </c>
      <c r="T33" s="55">
        <f t="shared" si="8"/>
        <v>0</v>
      </c>
      <c r="U33" s="55">
        <f t="shared" si="8"/>
        <v>0</v>
      </c>
      <c r="V33" s="55">
        <f t="shared" si="8"/>
        <v>0</v>
      </c>
      <c r="W33" s="55">
        <f t="shared" si="8"/>
        <v>0</v>
      </c>
      <c r="X33" s="55">
        <f t="shared" si="8"/>
        <v>0</v>
      </c>
      <c r="Y33" s="55">
        <f t="shared" si="8"/>
        <v>0</v>
      </c>
      <c r="Z33" s="55">
        <f t="shared" si="8"/>
        <v>0</v>
      </c>
      <c r="AA33" s="55">
        <f t="shared" si="8"/>
        <v>0</v>
      </c>
    </row>
    <row r="34" spans="2:31" x14ac:dyDescent="0.2">
      <c r="B34" s="50"/>
      <c r="C34" s="56" t="s">
        <v>23</v>
      </c>
      <c r="D34" s="52">
        <f>+D33*D31</f>
        <v>0</v>
      </c>
      <c r="E34" s="52">
        <f t="shared" ref="E34" si="9">+E33*E31</f>
        <v>0</v>
      </c>
      <c r="F34" s="52">
        <f t="shared" ref="F34" si="10">+F33*F31</f>
        <v>0</v>
      </c>
      <c r="G34" s="52">
        <f t="shared" ref="G34" si="11">+G33*G31</f>
        <v>0</v>
      </c>
      <c r="H34" s="52">
        <f t="shared" ref="H34" si="12">+H33*H31</f>
        <v>0</v>
      </c>
      <c r="I34" s="52">
        <f t="shared" ref="I34" si="13">+I33*I31</f>
        <v>0</v>
      </c>
      <c r="J34" s="52">
        <f t="shared" ref="J34" si="14">+J33*J31</f>
        <v>0</v>
      </c>
      <c r="K34" s="52">
        <f t="shared" ref="K34" si="15">+K33*K31</f>
        <v>0</v>
      </c>
      <c r="L34" s="52">
        <f t="shared" ref="L34" si="16">+L33*L31</f>
        <v>0</v>
      </c>
      <c r="M34" s="52">
        <f t="shared" ref="M34" si="17">+M33*M31</f>
        <v>0</v>
      </c>
      <c r="N34" s="52">
        <f t="shared" ref="N34" si="18">+N33*N31</f>
        <v>0</v>
      </c>
      <c r="O34" s="52">
        <f t="shared" ref="O34" si="19">+O33*O31</f>
        <v>0</v>
      </c>
      <c r="P34" s="52">
        <f t="shared" ref="P34" si="20">+P33*P31</f>
        <v>0</v>
      </c>
      <c r="Q34" s="52">
        <f t="shared" ref="Q34" si="21">+Q33*Q31</f>
        <v>0</v>
      </c>
      <c r="R34" s="52">
        <f t="shared" ref="R34" si="22">+R33*R31</f>
        <v>0</v>
      </c>
      <c r="S34" s="52">
        <f t="shared" ref="S34" si="23">+S33*S31</f>
        <v>0</v>
      </c>
      <c r="T34" s="52">
        <f t="shared" ref="T34" si="24">+T33*T31</f>
        <v>0</v>
      </c>
      <c r="U34" s="52">
        <f t="shared" ref="U34" si="25">+U33*U31</f>
        <v>0</v>
      </c>
      <c r="V34" s="52">
        <f t="shared" ref="V34" si="26">+V33*V31</f>
        <v>0</v>
      </c>
      <c r="W34" s="52">
        <f t="shared" ref="W34" si="27">+W33*W31</f>
        <v>0</v>
      </c>
      <c r="X34" s="52">
        <f t="shared" ref="X34" si="28">+X33*X31</f>
        <v>0</v>
      </c>
      <c r="Y34" s="52">
        <f t="shared" ref="Y34" si="29">+Y33*Y31</f>
        <v>0</v>
      </c>
      <c r="Z34" s="52">
        <f t="shared" ref="Z34" si="30">+Z33*Z31</f>
        <v>0</v>
      </c>
      <c r="AA34" s="52">
        <f t="shared" ref="AA34" si="31">+AA33*AA31</f>
        <v>0</v>
      </c>
    </row>
    <row r="35" spans="2:31" x14ac:dyDescent="0.2">
      <c r="B35" s="50"/>
      <c r="C35" s="48" t="s">
        <v>24</v>
      </c>
      <c r="D35" s="47">
        <f>+D29+D34</f>
        <v>12700</v>
      </c>
      <c r="E35" s="47">
        <f t="shared" ref="E35:AA35" si="32">+E29+E34</f>
        <v>12700</v>
      </c>
      <c r="F35" s="47">
        <f t="shared" si="32"/>
        <v>12700</v>
      </c>
      <c r="G35" s="47">
        <f t="shared" si="32"/>
        <v>12700</v>
      </c>
      <c r="H35" s="47">
        <f t="shared" si="32"/>
        <v>12700</v>
      </c>
      <c r="I35" s="47">
        <f t="shared" si="32"/>
        <v>12700</v>
      </c>
      <c r="J35" s="47">
        <f t="shared" si="32"/>
        <v>12700</v>
      </c>
      <c r="K35" s="47">
        <f t="shared" si="32"/>
        <v>12700</v>
      </c>
      <c r="L35" s="47">
        <f t="shared" si="32"/>
        <v>12700</v>
      </c>
      <c r="M35" s="47">
        <f t="shared" si="32"/>
        <v>12700</v>
      </c>
      <c r="N35" s="47">
        <f t="shared" si="32"/>
        <v>12700</v>
      </c>
      <c r="O35" s="47">
        <f t="shared" si="32"/>
        <v>12700</v>
      </c>
      <c r="P35" s="47">
        <f t="shared" si="32"/>
        <v>15240</v>
      </c>
      <c r="Q35" s="47">
        <f t="shared" si="32"/>
        <v>15240</v>
      </c>
      <c r="R35" s="47">
        <f t="shared" si="32"/>
        <v>15240</v>
      </c>
      <c r="S35" s="47">
        <f t="shared" si="32"/>
        <v>15240</v>
      </c>
      <c r="T35" s="47">
        <f t="shared" si="32"/>
        <v>15240</v>
      </c>
      <c r="U35" s="47">
        <f t="shared" si="32"/>
        <v>15240</v>
      </c>
      <c r="V35" s="47">
        <f t="shared" si="32"/>
        <v>15240</v>
      </c>
      <c r="W35" s="47">
        <f t="shared" si="32"/>
        <v>15240</v>
      </c>
      <c r="X35" s="47">
        <f t="shared" si="32"/>
        <v>15240</v>
      </c>
      <c r="Y35" s="47">
        <f t="shared" si="32"/>
        <v>15240</v>
      </c>
      <c r="Z35" s="47">
        <f t="shared" si="32"/>
        <v>15240</v>
      </c>
      <c r="AA35" s="47">
        <f t="shared" si="32"/>
        <v>15240</v>
      </c>
    </row>
    <row r="37" spans="2:31" ht="15" thickBot="1" x14ac:dyDescent="0.25">
      <c r="C37" s="108" t="s">
        <v>126</v>
      </c>
      <c r="D37" s="109">
        <f t="shared" ref="D37:AA37" si="33">D11-D17-D35</f>
        <v>-11050</v>
      </c>
      <c r="E37" s="109">
        <f t="shared" si="33"/>
        <v>-10955</v>
      </c>
      <c r="F37" s="109">
        <f t="shared" si="33"/>
        <v>-10855.25</v>
      </c>
      <c r="G37" s="109">
        <f t="shared" si="33"/>
        <v>-10750.512500000001</v>
      </c>
      <c r="H37" s="109">
        <f t="shared" si="33"/>
        <v>-10640.538124999999</v>
      </c>
      <c r="I37" s="109">
        <f t="shared" si="33"/>
        <v>-10525.06503125</v>
      </c>
      <c r="J37" s="109">
        <f t="shared" si="33"/>
        <v>-10403.818282812499</v>
      </c>
      <c r="K37" s="109">
        <f t="shared" si="33"/>
        <v>-10276.509196953124</v>
      </c>
      <c r="L37" s="109">
        <f t="shared" si="33"/>
        <v>-10142.834656800782</v>
      </c>
      <c r="M37" s="109">
        <f t="shared" si="33"/>
        <v>-10002.476389640819</v>
      </c>
      <c r="N37" s="109">
        <f t="shared" si="33"/>
        <v>-9855.100209122862</v>
      </c>
      <c r="O37" s="109">
        <f t="shared" si="33"/>
        <v>-9700.3552195790035</v>
      </c>
      <c r="P37" s="109">
        <f t="shared" si="33"/>
        <v>-12077.872980557953</v>
      </c>
      <c r="Q37" s="109">
        <f t="shared" si="33"/>
        <v>-11907.266629585851</v>
      </c>
      <c r="R37" s="109">
        <f t="shared" si="33"/>
        <v>-11728.129961065144</v>
      </c>
      <c r="S37" s="109">
        <f t="shared" si="33"/>
        <v>-11540.036459118401</v>
      </c>
      <c r="T37" s="109">
        <f t="shared" si="33"/>
        <v>-11342.538282074322</v>
      </c>
      <c r="U37" s="109">
        <f t="shared" si="33"/>
        <v>-11135.165196178037</v>
      </c>
      <c r="V37" s="109">
        <f t="shared" si="33"/>
        <v>-10917.423455986938</v>
      </c>
      <c r="W37" s="109">
        <f t="shared" si="33"/>
        <v>-10688.794628786285</v>
      </c>
      <c r="X37" s="109">
        <f t="shared" si="33"/>
        <v>-10448.734360225599</v>
      </c>
      <c r="Y37" s="109">
        <f t="shared" si="33"/>
        <v>-10196.671078236879</v>
      </c>
      <c r="Z37" s="109">
        <f t="shared" si="33"/>
        <v>-9932.0046321487243</v>
      </c>
      <c r="AA37" s="109">
        <f t="shared" si="33"/>
        <v>-9654.104863756158</v>
      </c>
    </row>
    <row r="38" spans="2:31" ht="15" thickBot="1" x14ac:dyDescent="0.25">
      <c r="C38" s="110" t="s">
        <v>5</v>
      </c>
      <c r="D38" s="111">
        <f>+D37</f>
        <v>-11050</v>
      </c>
      <c r="E38" s="111">
        <f t="shared" ref="E38:AA38" si="34">+E37</f>
        <v>-10955</v>
      </c>
      <c r="F38" s="111">
        <f t="shared" si="34"/>
        <v>-10855.25</v>
      </c>
      <c r="G38" s="111">
        <f t="shared" si="34"/>
        <v>-10750.512500000001</v>
      </c>
      <c r="H38" s="111">
        <f t="shared" si="34"/>
        <v>-10640.538124999999</v>
      </c>
      <c r="I38" s="111">
        <f t="shared" si="34"/>
        <v>-10525.06503125</v>
      </c>
      <c r="J38" s="111">
        <f t="shared" si="34"/>
        <v>-10403.818282812499</v>
      </c>
      <c r="K38" s="111">
        <f t="shared" si="34"/>
        <v>-10276.509196953124</v>
      </c>
      <c r="L38" s="111">
        <f t="shared" si="34"/>
        <v>-10142.834656800782</v>
      </c>
      <c r="M38" s="111">
        <f t="shared" si="34"/>
        <v>-10002.476389640819</v>
      </c>
      <c r="N38" s="111">
        <f t="shared" si="34"/>
        <v>-9855.100209122862</v>
      </c>
      <c r="O38" s="111">
        <f t="shared" si="34"/>
        <v>-9700.3552195790035</v>
      </c>
      <c r="P38" s="111">
        <f t="shared" si="34"/>
        <v>-12077.872980557953</v>
      </c>
      <c r="Q38" s="111">
        <f t="shared" si="34"/>
        <v>-11907.266629585851</v>
      </c>
      <c r="R38" s="111">
        <f t="shared" si="34"/>
        <v>-11728.129961065144</v>
      </c>
      <c r="S38" s="111">
        <f t="shared" si="34"/>
        <v>-11540.036459118401</v>
      </c>
      <c r="T38" s="111">
        <f t="shared" si="34"/>
        <v>-11342.538282074322</v>
      </c>
      <c r="U38" s="111">
        <f t="shared" si="34"/>
        <v>-11135.165196178037</v>
      </c>
      <c r="V38" s="111">
        <f t="shared" si="34"/>
        <v>-10917.423455986938</v>
      </c>
      <c r="W38" s="111">
        <f t="shared" si="34"/>
        <v>-10688.794628786285</v>
      </c>
      <c r="X38" s="111">
        <f t="shared" si="34"/>
        <v>-10448.734360225599</v>
      </c>
      <c r="Y38" s="111">
        <f t="shared" si="34"/>
        <v>-10196.671078236879</v>
      </c>
      <c r="Z38" s="111">
        <f t="shared" si="34"/>
        <v>-9932.0046321487243</v>
      </c>
      <c r="AA38" s="111">
        <f t="shared" si="34"/>
        <v>-9654.104863756158</v>
      </c>
    </row>
    <row r="39" spans="2:31" ht="15" thickTop="1" x14ac:dyDescent="0.2"/>
    <row r="40" spans="2:31" x14ac:dyDescent="0.2">
      <c r="C40" s="90" t="s">
        <v>120</v>
      </c>
      <c r="D40" s="91">
        <f>IF(D37&gt;50000,D37*0.25,0)</f>
        <v>0</v>
      </c>
      <c r="E40" s="91">
        <f t="shared" ref="E40:AA40" si="35">IF(E37&gt;50000,E37*0.25,0)</f>
        <v>0</v>
      </c>
      <c r="F40" s="91">
        <f t="shared" si="35"/>
        <v>0</v>
      </c>
      <c r="G40" s="91">
        <f t="shared" si="35"/>
        <v>0</v>
      </c>
      <c r="H40" s="91">
        <f t="shared" si="35"/>
        <v>0</v>
      </c>
      <c r="I40" s="91">
        <f t="shared" si="35"/>
        <v>0</v>
      </c>
      <c r="J40" s="91">
        <f t="shared" si="35"/>
        <v>0</v>
      </c>
      <c r="K40" s="91">
        <f t="shared" si="35"/>
        <v>0</v>
      </c>
      <c r="L40" s="91">
        <f t="shared" si="35"/>
        <v>0</v>
      </c>
      <c r="M40" s="91">
        <f t="shared" si="35"/>
        <v>0</v>
      </c>
      <c r="N40" s="91">
        <f t="shared" si="35"/>
        <v>0</v>
      </c>
      <c r="O40" s="91">
        <f t="shared" si="35"/>
        <v>0</v>
      </c>
      <c r="P40" s="91">
        <f t="shared" si="35"/>
        <v>0</v>
      </c>
      <c r="Q40" s="91">
        <f t="shared" si="35"/>
        <v>0</v>
      </c>
      <c r="R40" s="91">
        <f t="shared" si="35"/>
        <v>0</v>
      </c>
      <c r="S40" s="91">
        <f t="shared" si="35"/>
        <v>0</v>
      </c>
      <c r="T40" s="91">
        <f t="shared" si="35"/>
        <v>0</v>
      </c>
      <c r="U40" s="91">
        <f t="shared" si="35"/>
        <v>0</v>
      </c>
      <c r="V40" s="91">
        <f t="shared" si="35"/>
        <v>0</v>
      </c>
      <c r="W40" s="91">
        <f t="shared" si="35"/>
        <v>0</v>
      </c>
      <c r="X40" s="91">
        <f t="shared" si="35"/>
        <v>0</v>
      </c>
      <c r="Y40" s="91">
        <f t="shared" si="35"/>
        <v>0</v>
      </c>
      <c r="Z40" s="91">
        <f t="shared" si="35"/>
        <v>0</v>
      </c>
      <c r="AA40" s="91">
        <f t="shared" si="35"/>
        <v>0</v>
      </c>
      <c r="AE40" s="86" t="s">
        <v>121</v>
      </c>
    </row>
    <row r="42" spans="2:31" ht="15.75" x14ac:dyDescent="0.2">
      <c r="B42" s="46" t="s">
        <v>130</v>
      </c>
    </row>
    <row r="43" spans="2:31" ht="5.0999999999999996" customHeight="1" x14ac:dyDescent="0.2">
      <c r="B43" s="49" t="s">
        <v>26</v>
      </c>
    </row>
    <row r="44" spans="2:31" x14ac:dyDescent="0.2">
      <c r="C44" s="104" t="s">
        <v>129</v>
      </c>
      <c r="D44" s="63">
        <f>AVERAGE(D11:AA11)</f>
        <v>4450.1998874274022</v>
      </c>
      <c r="F44" s="115" t="s">
        <v>133</v>
      </c>
    </row>
    <row r="45" spans="2:31" x14ac:dyDescent="0.2">
      <c r="C45" s="104" t="s">
        <v>128</v>
      </c>
      <c r="D45" s="63">
        <f>D44*12</f>
        <v>53402.398649128823</v>
      </c>
      <c r="F45" s="115" t="s">
        <v>134</v>
      </c>
    </row>
    <row r="46" spans="2:31" x14ac:dyDescent="0.2">
      <c r="C46" s="112" t="s">
        <v>132</v>
      </c>
      <c r="D46" s="105">
        <v>20</v>
      </c>
      <c r="F46" s="115" t="s">
        <v>135</v>
      </c>
    </row>
    <row r="47" spans="2:31" x14ac:dyDescent="0.2">
      <c r="C47" s="61" t="s">
        <v>0</v>
      </c>
      <c r="D47" s="106">
        <f>ROUNDUP(D45*D46,-5)</f>
        <v>1100000</v>
      </c>
    </row>
    <row r="48" spans="2:31" ht="5.0999999999999996" customHeight="1" x14ac:dyDescent="0.2"/>
    <row r="49" spans="3:4" x14ac:dyDescent="0.2">
      <c r="C49" s="114">
        <v>0.1</v>
      </c>
      <c r="D49" s="113">
        <f>ROUNDUP(D47*C49,-4)</f>
        <v>110000</v>
      </c>
    </row>
    <row r="50" spans="3:4" x14ac:dyDescent="0.2">
      <c r="D50" s="107"/>
    </row>
    <row r="51" spans="3:4" x14ac:dyDescent="0.2">
      <c r="D51" s="107"/>
    </row>
    <row r="52" spans="3:4" x14ac:dyDescent="0.2">
      <c r="D52" s="107"/>
    </row>
    <row r="53" spans="3:4" x14ac:dyDescent="0.2">
      <c r="D53" s="107"/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11DF-D985-4B8D-8DD6-3F732B0F7FF3}">
  <dimension ref="A1:C4"/>
  <sheetViews>
    <sheetView showGridLines="0" workbookViewId="0">
      <selection activeCell="D38" sqref="D38"/>
    </sheetView>
  </sheetViews>
  <sheetFormatPr baseColWidth="10" defaultColWidth="11.42578125" defaultRowHeight="12.75" x14ac:dyDescent="0.2"/>
  <cols>
    <col min="1" max="1" width="11.42578125" style="59"/>
    <col min="2" max="2" width="20" style="59" bestFit="1" customWidth="1"/>
    <col min="3" max="16384" width="11.42578125" style="59"/>
  </cols>
  <sheetData>
    <row r="1" spans="1:3" s="9" customFormat="1" ht="27" thickBot="1" x14ac:dyDescent="0.45">
      <c r="A1" s="9" t="s">
        <v>25</v>
      </c>
    </row>
    <row r="2" spans="1:3" x14ac:dyDescent="0.2">
      <c r="A2" s="59" t="s">
        <v>26</v>
      </c>
    </row>
    <row r="3" spans="1:3" x14ac:dyDescent="0.2">
      <c r="B3" s="65" t="s">
        <v>27</v>
      </c>
      <c r="C3" s="64">
        <v>0.05</v>
      </c>
    </row>
    <row r="4" spans="1:3" x14ac:dyDescent="0.2">
      <c r="B4" s="65" t="s">
        <v>115</v>
      </c>
      <c r="C4" s="64">
        <v>0.05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B66E-3C2E-474C-9BDF-55190B5D6B54}">
  <sheetPr>
    <outlinePr summaryBelow="0" summaryRight="0"/>
  </sheetPr>
  <dimension ref="A1:U59"/>
  <sheetViews>
    <sheetView showGridLines="0" zoomScale="75" zoomScaleNormal="75" workbookViewId="0">
      <pane ySplit="1" topLeftCell="A2" activePane="bottomLeft" state="frozen"/>
      <selection pane="bottomLeft" activeCell="A20" sqref="A20"/>
    </sheetView>
  </sheetViews>
  <sheetFormatPr baseColWidth="10" defaultColWidth="0" defaultRowHeight="12.75" outlineLevelRow="1" x14ac:dyDescent="0.25"/>
  <cols>
    <col min="1" max="2" width="2.7109375" style="11" customWidth="1"/>
    <col min="3" max="3" width="26.42578125" style="11" customWidth="1"/>
    <col min="4" max="4" width="37.140625" style="11" customWidth="1"/>
    <col min="5" max="5" width="16.5703125" style="11" customWidth="1"/>
    <col min="6" max="6" width="75.7109375" style="11" customWidth="1"/>
    <col min="7" max="19" width="9.140625" style="11" customWidth="1"/>
    <col min="20" max="20" width="2.7109375" style="11" customWidth="1"/>
    <col min="21" max="21" width="0" style="11" hidden="1" customWidth="1"/>
    <col min="22" max="16384" width="9.140625" style="11" hidden="1"/>
  </cols>
  <sheetData>
    <row r="1" spans="1:19" ht="27" thickBot="1" x14ac:dyDescent="0.45">
      <c r="A1" s="9" t="s">
        <v>28</v>
      </c>
      <c r="B1" s="9"/>
      <c r="C1" s="9"/>
      <c r="D1" s="10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3" spans="1:19" s="12" customFormat="1" ht="24" thickBot="1" x14ac:dyDescent="0.4">
      <c r="B3" s="13" t="s">
        <v>29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12" customFormat="1" x14ac:dyDescent="0.25">
      <c r="B4" s="14" t="s">
        <v>30</v>
      </c>
    </row>
    <row r="5" spans="1:19" s="12" customFormat="1" ht="18" outlineLevel="1" x14ac:dyDescent="0.25">
      <c r="B5" s="15" t="s">
        <v>31</v>
      </c>
      <c r="C5" s="16"/>
    </row>
    <row r="6" spans="1:19" s="12" customFormat="1" ht="12.75" customHeight="1" outlineLevel="1" x14ac:dyDescent="0.25">
      <c r="B6" s="17" t="s">
        <v>32</v>
      </c>
      <c r="C6" s="117" t="s">
        <v>33</v>
      </c>
      <c r="D6" s="117"/>
      <c r="E6" s="117"/>
      <c r="F6" s="117"/>
      <c r="G6" s="117"/>
      <c r="H6" s="117"/>
      <c r="I6" s="117"/>
      <c r="J6" s="117"/>
      <c r="K6" s="117"/>
      <c r="L6" s="117"/>
      <c r="M6" s="117"/>
    </row>
    <row r="8" spans="1:19" s="12" customFormat="1" ht="24" thickBot="1" x14ac:dyDescent="0.4">
      <c r="B8" s="13" t="s">
        <v>34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spans="1:19" s="12" customFormat="1" x14ac:dyDescent="0.25">
      <c r="B9" s="14" t="s">
        <v>35</v>
      </c>
    </row>
    <row r="10" spans="1:19" s="12" customFormat="1" ht="18" outlineLevel="1" x14ac:dyDescent="0.25">
      <c r="B10" s="15" t="s">
        <v>36</v>
      </c>
    </row>
    <row r="11" spans="1:19" s="12" customFormat="1" outlineLevel="1" x14ac:dyDescent="0.2">
      <c r="C11" s="12" t="s">
        <v>37</v>
      </c>
      <c r="D11" s="18">
        <v>100</v>
      </c>
      <c r="F11" s="14" t="s">
        <v>38</v>
      </c>
    </row>
    <row r="12" spans="1:19" outlineLevel="1" x14ac:dyDescent="0.2">
      <c r="C12" s="19" t="s">
        <v>39</v>
      </c>
      <c r="D12" s="20">
        <v>100</v>
      </c>
      <c r="E12" s="19"/>
      <c r="F12" s="21" t="s">
        <v>40</v>
      </c>
    </row>
    <row r="13" spans="1:19" s="12" customFormat="1" outlineLevel="1" x14ac:dyDescent="0.2">
      <c r="C13" s="11" t="s">
        <v>41</v>
      </c>
      <c r="D13" s="22">
        <v>100</v>
      </c>
      <c r="E13" s="11"/>
      <c r="F13" s="14" t="s">
        <v>42</v>
      </c>
    </row>
    <row r="14" spans="1:19" s="12" customFormat="1" outlineLevel="1" x14ac:dyDescent="0.2">
      <c r="C14" s="12" t="s">
        <v>43</v>
      </c>
      <c r="D14" s="23">
        <v>100</v>
      </c>
      <c r="F14" s="14" t="s">
        <v>44</v>
      </c>
    </row>
    <row r="15" spans="1:19" s="12" customFormat="1" outlineLevel="1" x14ac:dyDescent="0.2">
      <c r="C15" s="12" t="s">
        <v>45</v>
      </c>
      <c r="D15" s="24">
        <v>100</v>
      </c>
      <c r="F15" s="14" t="s">
        <v>46</v>
      </c>
    </row>
    <row r="16" spans="1:19" s="12" customFormat="1" ht="18" outlineLevel="1" x14ac:dyDescent="0.25">
      <c r="B16" s="15" t="s">
        <v>47</v>
      </c>
      <c r="F16" s="14"/>
    </row>
    <row r="17" spans="2:6" s="12" customFormat="1" ht="15.75" outlineLevel="1" x14ac:dyDescent="0.25">
      <c r="C17" s="16"/>
    </row>
    <row r="18" spans="2:6" s="12" customFormat="1" ht="24" outlineLevel="1" thickBot="1" x14ac:dyDescent="0.3">
      <c r="C18" s="12" t="s">
        <v>48</v>
      </c>
      <c r="D18" s="25" t="s">
        <v>49</v>
      </c>
    </row>
    <row r="19" spans="2:6" s="12" customFormat="1" ht="18" outlineLevel="1" x14ac:dyDescent="0.25">
      <c r="C19" s="12" t="s">
        <v>50</v>
      </c>
      <c r="D19" s="26" t="s">
        <v>51</v>
      </c>
    </row>
    <row r="20" spans="2:6" s="12" customFormat="1" ht="15.75" outlineLevel="1" x14ac:dyDescent="0.25">
      <c r="C20" s="12" t="s">
        <v>52</v>
      </c>
      <c r="D20" s="27" t="s">
        <v>53</v>
      </c>
    </row>
    <row r="21" spans="2:6" s="12" customFormat="1" ht="14.25" outlineLevel="1" x14ac:dyDescent="0.25">
      <c r="C21" s="12" t="s">
        <v>54</v>
      </c>
      <c r="D21" s="28" t="s">
        <v>55</v>
      </c>
    </row>
    <row r="22" spans="2:6" s="12" customFormat="1" outlineLevel="1" x14ac:dyDescent="0.2">
      <c r="C22" s="12" t="s">
        <v>56</v>
      </c>
      <c r="D22" s="29" t="s">
        <v>57</v>
      </c>
    </row>
    <row r="23" spans="2:6" s="12" customFormat="1" ht="27" outlineLevel="1" thickBot="1" x14ac:dyDescent="0.45">
      <c r="C23" s="12" t="s">
        <v>58</v>
      </c>
      <c r="D23" s="30" t="s">
        <v>59</v>
      </c>
    </row>
    <row r="24" spans="2:6" s="12" customFormat="1" outlineLevel="1" x14ac:dyDescent="0.25">
      <c r="C24" s="12" t="s">
        <v>60</v>
      </c>
      <c r="D24" s="31" t="s">
        <v>61</v>
      </c>
    </row>
    <row r="25" spans="2:6" s="12" customFormat="1" ht="18" outlineLevel="1" x14ac:dyDescent="0.25">
      <c r="B25" s="15" t="s">
        <v>62</v>
      </c>
    </row>
    <row r="26" spans="2:6" s="12" customFormat="1" ht="15.75" outlineLevel="1" x14ac:dyDescent="0.25">
      <c r="C26" s="16"/>
    </row>
    <row r="27" spans="2:6" s="12" customFormat="1" ht="15" outlineLevel="1" x14ac:dyDescent="0.25">
      <c r="C27" s="12" t="s">
        <v>63</v>
      </c>
      <c r="D27" s="32" t="s">
        <v>64</v>
      </c>
    </row>
    <row r="28" spans="2:6" s="12" customFormat="1" outlineLevel="1" x14ac:dyDescent="0.2">
      <c r="C28" s="12" t="s">
        <v>65</v>
      </c>
      <c r="D28" s="33" t="s">
        <v>66</v>
      </c>
    </row>
    <row r="29" spans="2:6" s="12" customFormat="1" ht="15" outlineLevel="1" x14ac:dyDescent="0.25">
      <c r="C29" s="12" t="s">
        <v>67</v>
      </c>
      <c r="D29" s="34" t="s">
        <v>68</v>
      </c>
    </row>
    <row r="30" spans="2:6" s="12" customFormat="1" ht="15" outlineLevel="1" x14ac:dyDescent="0.25">
      <c r="C30" s="12" t="s">
        <v>69</v>
      </c>
      <c r="D30" s="35" t="s">
        <v>70</v>
      </c>
    </row>
    <row r="31" spans="2:6" outlineLevel="1" x14ac:dyDescent="0.2">
      <c r="C31" s="12" t="s">
        <v>71</v>
      </c>
      <c r="D31" s="36" t="s">
        <v>72</v>
      </c>
      <c r="E31" s="12"/>
      <c r="F31" s="12"/>
    </row>
    <row r="32" spans="2:6" outlineLevel="1" x14ac:dyDescent="0.2">
      <c r="C32" s="11" t="s">
        <v>41</v>
      </c>
      <c r="D32" s="37" t="s">
        <v>73</v>
      </c>
    </row>
    <row r="33" spans="3:4" ht="15.75" outlineLevel="1" thickBot="1" x14ac:dyDescent="0.3">
      <c r="C33" s="11" t="s">
        <v>74</v>
      </c>
      <c r="D33" s="38" t="s">
        <v>75</v>
      </c>
    </row>
    <row r="34" spans="3:4" ht="15.75" outlineLevel="1" thickTop="1" x14ac:dyDescent="0.25">
      <c r="C34" s="39" t="s">
        <v>76</v>
      </c>
      <c r="D34" s="40" t="s">
        <v>77</v>
      </c>
    </row>
    <row r="35" spans="3:4" ht="15" outlineLevel="1" x14ac:dyDescent="0.25">
      <c r="C35" s="11" t="s">
        <v>78</v>
      </c>
      <c r="D35" s="41" t="s">
        <v>79</v>
      </c>
    </row>
    <row r="36" spans="3:4" ht="15" outlineLevel="1" x14ac:dyDescent="0.25">
      <c r="C36" s="11" t="s">
        <v>80</v>
      </c>
      <c r="D36" s="42" t="s">
        <v>81</v>
      </c>
    </row>
    <row r="37" spans="3:4" outlineLevel="1" x14ac:dyDescent="0.2">
      <c r="C37" s="11" t="s">
        <v>82</v>
      </c>
      <c r="D37" s="33" t="s">
        <v>82</v>
      </c>
    </row>
    <row r="38" spans="3:4" ht="15" x14ac:dyDescent="0.25">
      <c r="C38" s="11" t="s">
        <v>83</v>
      </c>
      <c r="D38" s="43" t="s">
        <v>84</v>
      </c>
    </row>
    <row r="39" spans="3:4" ht="15" x14ac:dyDescent="0.25">
      <c r="C39" s="39" t="s">
        <v>85</v>
      </c>
      <c r="D39" s="44" t="s">
        <v>86</v>
      </c>
    </row>
    <row r="40" spans="3:4" x14ac:dyDescent="0.2">
      <c r="C40" s="11" t="s">
        <v>87</v>
      </c>
      <c r="D40" s="45" t="s">
        <v>88</v>
      </c>
    </row>
    <row r="49" s="11" customFormat="1" x14ac:dyDescent="0.25"/>
    <row r="50" s="11" customFormat="1" x14ac:dyDescent="0.25"/>
    <row r="51" s="11" customFormat="1" x14ac:dyDescent="0.25"/>
    <row r="52" s="11" customFormat="1" x14ac:dyDescent="0.25"/>
    <row r="53" s="11" customFormat="1" x14ac:dyDescent="0.25"/>
    <row r="54" s="11" customFormat="1" x14ac:dyDescent="0.25"/>
    <row r="55" s="11" customFormat="1" x14ac:dyDescent="0.25"/>
    <row r="56" s="11" customFormat="1" x14ac:dyDescent="0.25"/>
    <row r="57" s="11" customFormat="1" x14ac:dyDescent="0.25"/>
    <row r="58" s="11" customFormat="1" x14ac:dyDescent="0.25"/>
    <row r="59" s="11" customFormat="1" x14ac:dyDescent="0.25"/>
  </sheetData>
  <mergeCells count="1">
    <mergeCell ref="C6:M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"/>
  <sheetViews>
    <sheetView workbookViewId="0"/>
  </sheetViews>
  <sheetFormatPr baseColWidth="10" defaultColWidth="14.42578125" defaultRowHeight="15" customHeight="1" x14ac:dyDescent="0.25"/>
  <sheetData>
    <row r="1" spans="1:3" ht="15" customHeight="1" x14ac:dyDescent="0.35">
      <c r="A1" s="118" t="s">
        <v>89</v>
      </c>
      <c r="B1" s="119"/>
      <c r="C1" s="119"/>
    </row>
  </sheetData>
  <mergeCells count="1">
    <mergeCell ref="A1:C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4"/>
  <sheetViews>
    <sheetView workbookViewId="0"/>
  </sheetViews>
  <sheetFormatPr baseColWidth="10" defaultColWidth="14.42578125" defaultRowHeight="15" customHeight="1" x14ac:dyDescent="0.25"/>
  <cols>
    <col min="4" max="4" width="32.140625" customWidth="1"/>
    <col min="5" max="5" width="8" customWidth="1"/>
  </cols>
  <sheetData>
    <row r="1" spans="1:10" ht="15" customHeight="1" x14ac:dyDescent="0.35">
      <c r="A1" s="118" t="s">
        <v>90</v>
      </c>
      <c r="B1" s="119"/>
      <c r="C1" s="119"/>
      <c r="D1" s="1"/>
      <c r="E1" s="2"/>
      <c r="F1" s="1"/>
      <c r="G1" s="1"/>
      <c r="H1" s="1"/>
      <c r="I1" s="1"/>
      <c r="J1" s="1"/>
    </row>
    <row r="2" spans="1:10" x14ac:dyDescent="0.25">
      <c r="A2" s="3"/>
      <c r="B2" s="3"/>
      <c r="C2" s="3"/>
      <c r="D2" s="3"/>
      <c r="E2" s="3"/>
      <c r="F2" s="4">
        <v>2023</v>
      </c>
      <c r="G2" s="4">
        <v>2024</v>
      </c>
      <c r="H2" s="4">
        <v>2025</v>
      </c>
      <c r="I2" s="4">
        <v>2026</v>
      </c>
      <c r="J2" s="4">
        <v>2027</v>
      </c>
    </row>
    <row r="3" spans="1:10" x14ac:dyDescent="0.25">
      <c r="A3" s="122" t="s">
        <v>91</v>
      </c>
      <c r="B3" s="123"/>
      <c r="C3" s="123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 t="s">
        <v>92</v>
      </c>
      <c r="D4" s="2"/>
      <c r="E4" s="5" t="s">
        <v>93</v>
      </c>
      <c r="F4" s="71"/>
      <c r="G4" s="71"/>
      <c r="H4" s="71"/>
      <c r="I4" s="71"/>
      <c r="J4" s="71"/>
    </row>
    <row r="5" spans="1:10" x14ac:dyDescent="0.25">
      <c r="A5" s="2"/>
      <c r="B5" s="124" t="s">
        <v>94</v>
      </c>
      <c r="C5" s="123"/>
      <c r="D5" s="124"/>
      <c r="E5" s="123"/>
      <c r="F5" s="124"/>
      <c r="G5" s="123"/>
      <c r="H5" s="124"/>
      <c r="I5" s="123"/>
      <c r="J5" s="73"/>
    </row>
    <row r="6" spans="1:10" x14ac:dyDescent="0.25">
      <c r="A6" s="2"/>
      <c r="B6" s="2"/>
      <c r="C6" s="2" t="s">
        <v>95</v>
      </c>
      <c r="D6" s="2"/>
      <c r="E6" s="5" t="s">
        <v>93</v>
      </c>
      <c r="F6" s="71"/>
      <c r="G6" s="71"/>
      <c r="H6" s="71"/>
      <c r="I6" s="71"/>
      <c r="J6" s="74"/>
    </row>
    <row r="7" spans="1:10" x14ac:dyDescent="0.25">
      <c r="A7" s="2"/>
      <c r="B7" s="2"/>
      <c r="C7" s="2" t="s">
        <v>96</v>
      </c>
      <c r="D7" s="2"/>
      <c r="E7" s="5" t="s">
        <v>93</v>
      </c>
      <c r="F7" s="71"/>
      <c r="G7" s="71"/>
      <c r="H7" s="71"/>
      <c r="I7" s="71"/>
      <c r="J7" s="71"/>
    </row>
    <row r="8" spans="1:10" x14ac:dyDescent="0.25">
      <c r="A8" s="2"/>
      <c r="B8" s="2"/>
      <c r="C8" s="2" t="s">
        <v>97</v>
      </c>
      <c r="D8" s="2"/>
      <c r="E8" s="5" t="s">
        <v>93</v>
      </c>
      <c r="F8" s="71"/>
      <c r="G8" s="71"/>
      <c r="H8" s="71"/>
      <c r="I8" s="71"/>
      <c r="J8" s="71"/>
    </row>
    <row r="9" spans="1:10" x14ac:dyDescent="0.25">
      <c r="A9" s="2"/>
      <c r="B9" s="2"/>
      <c r="C9" s="2" t="s">
        <v>98</v>
      </c>
      <c r="D9" s="2"/>
      <c r="E9" s="5" t="s">
        <v>93</v>
      </c>
      <c r="F9" s="71"/>
      <c r="G9" s="71"/>
      <c r="H9" s="71"/>
      <c r="I9" s="71"/>
      <c r="J9" s="71"/>
    </row>
    <row r="10" spans="1:10" x14ac:dyDescent="0.25">
      <c r="A10" s="2"/>
      <c r="B10" s="124" t="s">
        <v>99</v>
      </c>
      <c r="C10" s="123"/>
      <c r="D10" s="72"/>
      <c r="E10" s="6" t="s">
        <v>93</v>
      </c>
      <c r="F10" s="73"/>
      <c r="G10" s="73"/>
      <c r="H10" s="73"/>
      <c r="I10" s="73"/>
      <c r="J10" s="75"/>
    </row>
    <row r="11" spans="1:10" x14ac:dyDescent="0.25">
      <c r="A11" s="120" t="s">
        <v>100</v>
      </c>
      <c r="B11" s="121"/>
      <c r="C11" s="121"/>
      <c r="D11" s="76"/>
      <c r="E11" s="7" t="s">
        <v>93</v>
      </c>
      <c r="F11" s="77"/>
      <c r="G11" s="77"/>
      <c r="H11" s="77"/>
      <c r="I11" s="77"/>
      <c r="J11" s="78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125" t="s">
        <v>101</v>
      </c>
      <c r="B13" s="126"/>
      <c r="C13" s="126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124" t="s">
        <v>102</v>
      </c>
      <c r="C14" s="123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 t="s">
        <v>103</v>
      </c>
      <c r="D15" s="2"/>
      <c r="E15" s="5" t="s">
        <v>93</v>
      </c>
      <c r="F15" s="71"/>
      <c r="G15" s="71"/>
      <c r="H15" s="71"/>
      <c r="I15" s="71"/>
      <c r="J15" s="71"/>
    </row>
    <row r="16" spans="1:10" x14ac:dyDescent="0.25">
      <c r="A16" s="2"/>
      <c r="B16" s="2"/>
      <c r="C16" s="2" t="s">
        <v>104</v>
      </c>
      <c r="D16" s="2"/>
      <c r="E16" s="5" t="s">
        <v>93</v>
      </c>
      <c r="F16" s="71"/>
      <c r="G16" s="71"/>
      <c r="H16" s="71"/>
      <c r="I16" s="71"/>
      <c r="J16" s="71"/>
    </row>
    <row r="17" spans="1:10" x14ac:dyDescent="0.25">
      <c r="A17" s="2"/>
      <c r="B17" s="2"/>
      <c r="C17" s="2" t="s">
        <v>105</v>
      </c>
      <c r="D17" s="2"/>
      <c r="E17" s="5" t="s">
        <v>93</v>
      </c>
      <c r="F17" s="8"/>
      <c r="G17" s="8"/>
      <c r="H17" s="71"/>
      <c r="I17" s="71"/>
      <c r="J17" s="71"/>
    </row>
    <row r="18" spans="1:10" x14ac:dyDescent="0.25">
      <c r="A18" s="2"/>
      <c r="B18" s="124" t="s">
        <v>106</v>
      </c>
      <c r="C18" s="123"/>
      <c r="D18" s="72"/>
      <c r="E18" s="6" t="s">
        <v>93</v>
      </c>
      <c r="F18" s="73"/>
      <c r="G18" s="73"/>
      <c r="H18" s="73"/>
      <c r="I18" s="73"/>
      <c r="J18" s="75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127" t="s">
        <v>107</v>
      </c>
      <c r="C20" s="126"/>
      <c r="D20" s="73"/>
      <c r="E20" s="73"/>
      <c r="F20" s="73"/>
      <c r="G20" s="73"/>
      <c r="H20" s="73"/>
      <c r="I20" s="73"/>
      <c r="J20" s="73"/>
    </row>
    <row r="21" spans="1:10" x14ac:dyDescent="0.25">
      <c r="A21" s="2"/>
      <c r="B21" s="2"/>
      <c r="C21" s="2" t="s">
        <v>108</v>
      </c>
      <c r="D21" s="2"/>
      <c r="E21" s="5" t="s">
        <v>93</v>
      </c>
      <c r="F21" s="71"/>
      <c r="G21" s="71"/>
      <c r="H21" s="71"/>
      <c r="I21" s="71"/>
      <c r="J21" s="71"/>
    </row>
    <row r="22" spans="1:10" x14ac:dyDescent="0.25">
      <c r="A22" s="2"/>
      <c r="B22" s="2"/>
      <c r="C22" s="2" t="s">
        <v>109</v>
      </c>
      <c r="D22" s="2"/>
      <c r="E22" s="5" t="s">
        <v>93</v>
      </c>
      <c r="F22" s="71"/>
      <c r="G22" s="71"/>
      <c r="H22" s="71"/>
      <c r="I22" s="71"/>
      <c r="J22" s="8"/>
    </row>
    <row r="23" spans="1:10" x14ac:dyDescent="0.25">
      <c r="A23" s="2"/>
      <c r="B23" s="124" t="s">
        <v>110</v>
      </c>
      <c r="C23" s="123"/>
      <c r="D23" s="72"/>
      <c r="E23" s="6" t="s">
        <v>93</v>
      </c>
      <c r="F23" s="73"/>
      <c r="G23" s="73"/>
      <c r="H23" s="73"/>
      <c r="I23" s="73"/>
      <c r="J23" s="73"/>
    </row>
    <row r="24" spans="1:10" x14ac:dyDescent="0.25">
      <c r="A24" s="120" t="s">
        <v>111</v>
      </c>
      <c r="B24" s="121"/>
      <c r="C24" s="121"/>
      <c r="D24" s="76"/>
      <c r="E24" s="7" t="s">
        <v>93</v>
      </c>
      <c r="F24" s="77"/>
      <c r="G24" s="77"/>
      <c r="H24" s="77"/>
      <c r="I24" s="77"/>
      <c r="J24" s="78"/>
    </row>
  </sheetData>
  <mergeCells count="14">
    <mergeCell ref="D5:E5"/>
    <mergeCell ref="F5:G5"/>
    <mergeCell ref="H5:I5"/>
    <mergeCell ref="B10:C10"/>
    <mergeCell ref="B23:C23"/>
    <mergeCell ref="A24:C24"/>
    <mergeCell ref="A1:C1"/>
    <mergeCell ref="A3:C3"/>
    <mergeCell ref="B5:C5"/>
    <mergeCell ref="A11:C11"/>
    <mergeCell ref="A13:C13"/>
    <mergeCell ref="B14:C14"/>
    <mergeCell ref="B18:C18"/>
    <mergeCell ref="B20:C20"/>
  </mergeCells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dd4505a9-6cd4-4946-8469-fe3f198364fd}" enabled="0" method="" siteId="{dd4505a9-6cd4-4946-8469-fe3f198364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PnL</vt:lpstr>
      <vt:lpstr>Input</vt:lpstr>
      <vt:lpstr>Guide</vt:lpstr>
      <vt:lpstr>Cashflow</vt:lpstr>
      <vt:lpstr>Bilanz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Bernhard Wach</dc:creator>
  <cp:keywords/>
  <dc:description/>
  <cp:lastModifiedBy>Lorenz Artmayr</cp:lastModifiedBy>
  <cp:revision/>
  <dcterms:created xsi:type="dcterms:W3CDTF">2023-05-10T20:57:12Z</dcterms:created>
  <dcterms:modified xsi:type="dcterms:W3CDTF">2025-06-30T18:12:00Z</dcterms:modified>
  <cp:category/>
  <cp:contentStatus/>
</cp:coreProperties>
</file>