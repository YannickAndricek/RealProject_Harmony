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mc:AlternateContent xmlns:mc="http://schemas.openxmlformats.org/markup-compatibility/2006">
    <mc:Choice Requires="x15">
      <x15ac:absPath xmlns:x15ac="http://schemas.microsoft.com/office/spreadsheetml/2010/11/ac" url="https://d.docs.live.net/d628ba0f882ded4c/Studium/Business Plan/"/>
    </mc:Choice>
  </mc:AlternateContent>
  <xr:revisionPtr revIDLastSave="0" documentId="8_{828A2491-C4C7-4C26-9FEF-B116B5167905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P&amp;L Vorlage" sheetId="6" r:id="rId1"/>
    <sheet name="PnL" sheetId="12" r:id="rId2"/>
    <sheet name="Input" sheetId="14" r:id="rId3"/>
    <sheet name="Guide" sheetId="11" r:id="rId4"/>
    <sheet name="Cashflow" sheetId="7" state="hidden" r:id="rId5"/>
    <sheet name="Bilanz" sheetId="8" state="hidden" r:id="rId6"/>
  </sheets>
  <externalReferences>
    <externalReference r:id="rId7"/>
  </externalReferences>
  <definedNames>
    <definedName name="Cons_end">[1]Assumptions!$E$9</definedName>
    <definedName name="Cons_start">[1]Assumptions!$E$7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Model_Start">[1]Assumptions!$E$5</definedName>
    <definedName name="Mths_in_Qtr">[1]Assumptions!$E$16</definedName>
    <definedName name="Mths_in_Yr">[1]Assumptions!$E$19</definedName>
    <definedName name="Ops_end">[1]Assumptions!$E$13</definedName>
    <definedName name="Ops_start">[1]Assumptions!$E$11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D24" i="12"/>
  <c r="D10" i="12"/>
  <c r="D12" i="12" s="1"/>
  <c r="E16" i="12"/>
  <c r="F16" i="12" s="1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AA16" i="12" s="1"/>
  <c r="E8" i="12"/>
  <c r="E24" i="12" s="1"/>
  <c r="D18" i="12"/>
  <c r="Q29" i="12"/>
  <c r="Q30" i="12" s="1"/>
  <c r="P22" i="12"/>
  <c r="AA34" i="12"/>
  <c r="AA35" i="12" s="1"/>
  <c r="Z34" i="12"/>
  <c r="Z35" i="12" s="1"/>
  <c r="Y34" i="12"/>
  <c r="Y35" i="12" s="1"/>
  <c r="X34" i="12"/>
  <c r="X35" i="12" s="1"/>
  <c r="W34" i="12"/>
  <c r="W35" i="12" s="1"/>
  <c r="V34" i="12"/>
  <c r="V35" i="12" s="1"/>
  <c r="U34" i="12"/>
  <c r="U35" i="12" s="1"/>
  <c r="T34" i="12"/>
  <c r="T35" i="12" s="1"/>
  <c r="S34" i="12"/>
  <c r="S35" i="12" s="1"/>
  <c r="R34" i="12"/>
  <c r="R35" i="12" s="1"/>
  <c r="Q34" i="12"/>
  <c r="Q35" i="12" s="1"/>
  <c r="P34" i="12"/>
  <c r="P35" i="12" s="1"/>
  <c r="O34" i="12"/>
  <c r="O35" i="12" s="1"/>
  <c r="N34" i="12"/>
  <c r="N35" i="12" s="1"/>
  <c r="M34" i="12"/>
  <c r="M35" i="12" s="1"/>
  <c r="L34" i="12"/>
  <c r="L35" i="12" s="1"/>
  <c r="K34" i="12"/>
  <c r="K35" i="12" s="1"/>
  <c r="J34" i="12"/>
  <c r="J35" i="12" s="1"/>
  <c r="I34" i="12"/>
  <c r="I35" i="12" s="1"/>
  <c r="H34" i="12"/>
  <c r="H35" i="12" s="1"/>
  <c r="G34" i="12"/>
  <c r="G35" i="12" s="1"/>
  <c r="F34" i="12"/>
  <c r="F35" i="12" s="1"/>
  <c r="E34" i="12"/>
  <c r="E35" i="12" s="1"/>
  <c r="D34" i="12"/>
  <c r="D35" i="12" s="1"/>
  <c r="AA29" i="12"/>
  <c r="AA30" i="12" s="1"/>
  <c r="Z29" i="12"/>
  <c r="Z30" i="12" s="1"/>
  <c r="Y29" i="12"/>
  <c r="Y30" i="12" s="1"/>
  <c r="X29" i="12"/>
  <c r="X30" i="12" s="1"/>
  <c r="W29" i="12"/>
  <c r="W30" i="12" s="1"/>
  <c r="V29" i="12"/>
  <c r="V30" i="12" s="1"/>
  <c r="U29" i="12"/>
  <c r="U30" i="12" s="1"/>
  <c r="T29" i="12"/>
  <c r="T30" i="12" s="1"/>
  <c r="S29" i="12"/>
  <c r="S30" i="12" s="1"/>
  <c r="R29" i="12"/>
  <c r="R30" i="12" s="1"/>
  <c r="P29" i="12"/>
  <c r="P30" i="12" s="1"/>
  <c r="O29" i="12"/>
  <c r="O30" i="12" s="1"/>
  <c r="N29" i="12"/>
  <c r="N30" i="12" s="1"/>
  <c r="M29" i="12"/>
  <c r="M30" i="12" s="1"/>
  <c r="L29" i="12"/>
  <c r="L30" i="12" s="1"/>
  <c r="K29" i="12"/>
  <c r="K30" i="12" s="1"/>
  <c r="J29" i="12"/>
  <c r="J30" i="12" s="1"/>
  <c r="I29" i="12"/>
  <c r="I30" i="12" s="1"/>
  <c r="H29" i="12"/>
  <c r="H30" i="12" s="1"/>
  <c r="G29" i="12"/>
  <c r="G30" i="12" s="1"/>
  <c r="F29" i="12"/>
  <c r="F30" i="12" s="1"/>
  <c r="E29" i="12"/>
  <c r="E30" i="12" s="1"/>
  <c r="D29" i="12"/>
  <c r="D30" i="12" s="1"/>
  <c r="E10" i="12" l="1"/>
  <c r="E18" i="12"/>
  <c r="F18" i="12"/>
  <c r="E12" i="12"/>
  <c r="F8" i="12"/>
  <c r="T36" i="12"/>
  <c r="Q36" i="12"/>
  <c r="M36" i="12"/>
  <c r="N36" i="12"/>
  <c r="O36" i="12"/>
  <c r="P36" i="12"/>
  <c r="R36" i="12"/>
  <c r="S36" i="12"/>
  <c r="J36" i="12"/>
  <c r="K36" i="12"/>
  <c r="Z36" i="12"/>
  <c r="AA36" i="12"/>
  <c r="L36" i="12"/>
  <c r="D36" i="12"/>
  <c r="D40" i="12" s="1"/>
  <c r="E36" i="12"/>
  <c r="U36" i="12"/>
  <c r="F36" i="12"/>
  <c r="V36" i="12"/>
  <c r="G36" i="12"/>
  <c r="W36" i="12"/>
  <c r="H36" i="12"/>
  <c r="X36" i="12"/>
  <c r="Y36" i="12"/>
  <c r="I36" i="12"/>
  <c r="D41" i="12" l="1"/>
  <c r="D43" i="12"/>
  <c r="F10" i="12"/>
  <c r="F24" i="12"/>
  <c r="E40" i="12"/>
  <c r="E43" i="12" s="1"/>
  <c r="G18" i="12"/>
  <c r="G8" i="12"/>
  <c r="P7" i="6"/>
  <c r="Q7" i="6"/>
  <c r="R7" i="6"/>
  <c r="S7" i="6"/>
  <c r="T7" i="6"/>
  <c r="U7" i="6"/>
  <c r="V7" i="6"/>
  <c r="W7" i="6"/>
  <c r="X7" i="6"/>
  <c r="Y7" i="6"/>
  <c r="Z7" i="6"/>
  <c r="AA7" i="6"/>
  <c r="P11" i="6"/>
  <c r="Q11" i="6"/>
  <c r="R11" i="6"/>
  <c r="S11" i="6"/>
  <c r="T11" i="6"/>
  <c r="U11" i="6"/>
  <c r="V11" i="6"/>
  <c r="W11" i="6"/>
  <c r="X11" i="6"/>
  <c r="Y11" i="6"/>
  <c r="Z11" i="6"/>
  <c r="AA11" i="6"/>
  <c r="P18" i="6"/>
  <c r="Q18" i="6"/>
  <c r="R18" i="6"/>
  <c r="S18" i="6"/>
  <c r="T18" i="6"/>
  <c r="U18" i="6"/>
  <c r="V18" i="6"/>
  <c r="W18" i="6"/>
  <c r="X18" i="6"/>
  <c r="Y18" i="6"/>
  <c r="Z18" i="6"/>
  <c r="AA18" i="6"/>
  <c r="P22" i="6"/>
  <c r="Q22" i="6"/>
  <c r="R22" i="6"/>
  <c r="S22" i="6"/>
  <c r="T22" i="6"/>
  <c r="U22" i="6"/>
  <c r="V22" i="6"/>
  <c r="W22" i="6"/>
  <c r="X22" i="6"/>
  <c r="Y22" i="6"/>
  <c r="Z22" i="6"/>
  <c r="AA22" i="6"/>
  <c r="E22" i="6"/>
  <c r="F22" i="6"/>
  <c r="H22" i="6"/>
  <c r="O22" i="6"/>
  <c r="D18" i="6"/>
  <c r="E18" i="6"/>
  <c r="F18" i="6"/>
  <c r="G18" i="6"/>
  <c r="H18" i="6"/>
  <c r="I18" i="6"/>
  <c r="J18" i="6"/>
  <c r="K18" i="6"/>
  <c r="L18" i="6"/>
  <c r="M18" i="6"/>
  <c r="E7" i="6"/>
  <c r="F7" i="6"/>
  <c r="G7" i="6"/>
  <c r="H7" i="6"/>
  <c r="I7" i="6"/>
  <c r="J7" i="6"/>
  <c r="K7" i="6"/>
  <c r="L7" i="6"/>
  <c r="M7" i="6"/>
  <c r="M22" i="6" s="1"/>
  <c r="N7" i="6"/>
  <c r="N22" i="6" s="1"/>
  <c r="O7" i="6"/>
  <c r="D7" i="6"/>
  <c r="G10" i="12" l="1"/>
  <c r="G24" i="12"/>
  <c r="E41" i="12"/>
  <c r="H18" i="12"/>
  <c r="F12" i="12"/>
  <c r="F40" i="12" s="1"/>
  <c r="F43" i="12" s="1"/>
  <c r="H8" i="12"/>
  <c r="N18" i="6"/>
  <c r="O18" i="6"/>
  <c r="H24" i="12" l="1"/>
  <c r="H10" i="12"/>
  <c r="F41" i="12"/>
  <c r="I18" i="12"/>
  <c r="I8" i="12"/>
  <c r="G12" i="12"/>
  <c r="G40" i="12" s="1"/>
  <c r="G43" i="12" s="1"/>
  <c r="D11" i="6"/>
  <c r="D22" i="6" s="1"/>
  <c r="G41" i="12" l="1"/>
  <c r="I24" i="12"/>
  <c r="I10" i="12"/>
  <c r="J18" i="12"/>
  <c r="H12" i="12"/>
  <c r="H40" i="12" s="1"/>
  <c r="H43" i="12" s="1"/>
  <c r="J8" i="12"/>
  <c r="E11" i="6"/>
  <c r="J24" i="12" l="1"/>
  <c r="J10" i="12"/>
  <c r="H41" i="12"/>
  <c r="K18" i="12"/>
  <c r="I12" i="12"/>
  <c r="I40" i="12" s="1"/>
  <c r="I43" i="12" s="1"/>
  <c r="K8" i="12"/>
  <c r="F11" i="6"/>
  <c r="K24" i="12" l="1"/>
  <c r="K10" i="12"/>
  <c r="I41" i="12"/>
  <c r="L18" i="12"/>
  <c r="L8" i="12"/>
  <c r="J12" i="12"/>
  <c r="J40" i="12" s="1"/>
  <c r="J43" i="12" s="1"/>
  <c r="M11" i="6"/>
  <c r="G11" i="6"/>
  <c r="G22" i="6" s="1"/>
  <c r="L24" i="12" l="1"/>
  <c r="L10" i="12"/>
  <c r="J41" i="12"/>
  <c r="M18" i="12"/>
  <c r="K12" i="12"/>
  <c r="K40" i="12" s="1"/>
  <c r="K43" i="12" s="1"/>
  <c r="M8" i="12"/>
  <c r="N11" i="6"/>
  <c r="O11" i="6"/>
  <c r="H11" i="6"/>
  <c r="M10" i="12" l="1"/>
  <c r="M24" i="12"/>
  <c r="K41" i="12"/>
  <c r="N18" i="12"/>
  <c r="L12" i="12"/>
  <c r="L40" i="12" s="1"/>
  <c r="L43" i="12" s="1"/>
  <c r="N8" i="12"/>
  <c r="I11" i="6"/>
  <c r="I22" i="6" s="1"/>
  <c r="N10" i="12" l="1"/>
  <c r="N24" i="12"/>
  <c r="L41" i="12"/>
  <c r="O18" i="12"/>
  <c r="M12" i="12"/>
  <c r="M40" i="12" s="1"/>
  <c r="M43" i="12" s="1"/>
  <c r="O8" i="12"/>
  <c r="J11" i="6"/>
  <c r="J22" i="6" s="1"/>
  <c r="M41" i="12" l="1"/>
  <c r="O10" i="12"/>
  <c r="O24" i="12"/>
  <c r="P18" i="12"/>
  <c r="N12" i="12"/>
  <c r="N40" i="12" s="1"/>
  <c r="N43" i="12" s="1"/>
  <c r="P8" i="12"/>
  <c r="L11" i="6"/>
  <c r="L22" i="6" s="1"/>
  <c r="K11" i="6"/>
  <c r="K22" i="6" s="1"/>
  <c r="P24" i="12" l="1"/>
  <c r="P10" i="12"/>
  <c r="N41" i="12"/>
  <c r="Q18" i="12"/>
  <c r="O12" i="12"/>
  <c r="O40" i="12" s="1"/>
  <c r="O43" i="12" s="1"/>
  <c r="Q8" i="12"/>
  <c r="O41" i="12" l="1"/>
  <c r="Q10" i="12"/>
  <c r="Q24" i="12"/>
  <c r="R18" i="12"/>
  <c r="P12" i="12"/>
  <c r="P40" i="12" s="1"/>
  <c r="P43" i="12" s="1"/>
  <c r="R8" i="12"/>
  <c r="R10" i="12" l="1"/>
  <c r="R24" i="12"/>
  <c r="P41" i="12"/>
  <c r="S18" i="12"/>
  <c r="Q12" i="12"/>
  <c r="Q40" i="12" s="1"/>
  <c r="Q43" i="12" s="1"/>
  <c r="S8" i="12"/>
  <c r="S10" i="12" l="1"/>
  <c r="S24" i="12"/>
  <c r="Q41" i="12"/>
  <c r="T18" i="12"/>
  <c r="R12" i="12"/>
  <c r="R40" i="12" s="1"/>
  <c r="R43" i="12" s="1"/>
  <c r="T8" i="12"/>
  <c r="T10" i="12" l="1"/>
  <c r="T24" i="12"/>
  <c r="R41" i="12"/>
  <c r="U18" i="12"/>
  <c r="S12" i="12"/>
  <c r="S40" i="12" s="1"/>
  <c r="S43" i="12" s="1"/>
  <c r="U8" i="12"/>
  <c r="U24" i="12" l="1"/>
  <c r="U10" i="12"/>
  <c r="S41" i="12"/>
  <c r="V18" i="12"/>
  <c r="T12" i="12"/>
  <c r="T40" i="12" s="1"/>
  <c r="T43" i="12" s="1"/>
  <c r="V8" i="12"/>
  <c r="V24" i="12" l="1"/>
  <c r="V10" i="12"/>
  <c r="T41" i="12"/>
  <c r="W18" i="12"/>
  <c r="U12" i="12"/>
  <c r="U40" i="12" s="1"/>
  <c r="U43" i="12" s="1"/>
  <c r="W8" i="12"/>
  <c r="W24" i="12" l="1"/>
  <c r="W10" i="12"/>
  <c r="U41" i="12"/>
  <c r="X18" i="12"/>
  <c r="V12" i="12"/>
  <c r="V40" i="12" s="1"/>
  <c r="V43" i="12" s="1"/>
  <c r="X8" i="12"/>
  <c r="X24" i="12" l="1"/>
  <c r="X10" i="12"/>
  <c r="V41" i="12"/>
  <c r="Y18" i="12"/>
  <c r="W12" i="12"/>
  <c r="W40" i="12" s="1"/>
  <c r="W43" i="12" s="1"/>
  <c r="Y8" i="12"/>
  <c r="Y10" i="12" l="1"/>
  <c r="Y24" i="12"/>
  <c r="W41" i="12"/>
  <c r="AA18" i="12"/>
  <c r="Z18" i="12"/>
  <c r="X12" i="12"/>
  <c r="X40" i="12" s="1"/>
  <c r="X43" i="12" s="1"/>
  <c r="Z8" i="12"/>
  <c r="Z10" i="12" l="1"/>
  <c r="Z24" i="12"/>
  <c r="X41" i="12"/>
  <c r="Y12" i="12"/>
  <c r="Y40" i="12" s="1"/>
  <c r="Y43" i="12" s="1"/>
  <c r="AA8" i="12"/>
  <c r="AA24" i="12" l="1"/>
  <c r="AA10" i="12"/>
  <c r="Y41" i="12"/>
  <c r="Z12" i="12"/>
  <c r="Z40" i="12" s="1"/>
  <c r="Z43" i="12" s="1"/>
  <c r="AA12" i="12"/>
  <c r="AA40" i="12" s="1"/>
  <c r="AA43" i="12" s="1"/>
  <c r="AA41" i="12" l="1"/>
  <c r="Z4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tc={6FB60BC8-8AF8-42BF-8E3D-576015908597}</author>
  </authors>
  <commentList>
    <comment ref="B22" authorId="0" shapeId="0" xr:uid="{6FB60BC8-8AF8-42BF-8E3D-5760159085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Gewinn vor Zinsen, Steuern und Abschreibungen auf Sachanlagen und immaterielle Vermögenswerte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tc={1CE354E6-9939-4072-B511-4E4398DD8A5C}</author>
  </authors>
  <commentList>
    <comment ref="C41" authorId="0" shapeId="0" xr:uid="{1CE354E6-9939-4072-B511-4E4398DD8A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Gewinn vor Zinsen, Steuern und Abschreibungen auf Sachanlagen und immaterielle Vermögenswerte </t>
      </text>
    </comment>
  </commentList>
</comments>
</file>

<file path=xl/sharedStrings.xml><?xml version="1.0" encoding="utf-8"?>
<sst xmlns="http://schemas.openxmlformats.org/spreadsheetml/2006/main" count="162" uniqueCount="140">
  <si>
    <t>Profit &amp; Loss</t>
  </si>
  <si>
    <t>Price</t>
  </si>
  <si>
    <t># Products Sold</t>
  </si>
  <si>
    <t>Revenue</t>
  </si>
  <si>
    <t>Discounts</t>
  </si>
  <si>
    <t>Sales &amp; Marketing Cost</t>
  </si>
  <si>
    <t>Marketing</t>
  </si>
  <si>
    <t>Sales</t>
  </si>
  <si>
    <t>Production</t>
  </si>
  <si>
    <t>Overhead</t>
  </si>
  <si>
    <t>HR</t>
  </si>
  <si>
    <t>General Cost</t>
  </si>
  <si>
    <t>EBITDA</t>
  </si>
  <si>
    <t>Profit &amp; Loss for 2025/26</t>
  </si>
  <si>
    <t>Notes Intern</t>
  </si>
  <si>
    <t>Month:</t>
  </si>
  <si>
    <t>Date:</t>
  </si>
  <si>
    <t>Conversion Funnel</t>
  </si>
  <si>
    <t xml:space="preserve">Up </t>
  </si>
  <si>
    <t>Monthly Users</t>
  </si>
  <si>
    <t>Target Social Media Ads (500-750 Users; Micro Influencers (100-250 Users); Organic Channels (350-750 Users)</t>
  </si>
  <si>
    <t>Conversion Rate</t>
  </si>
  <si>
    <t>Indikation zu annahmen</t>
  </si>
  <si>
    <t>Mediated Bookings</t>
  </si>
  <si>
    <t>Comission per Booking</t>
  </si>
  <si>
    <t>⌀ Kosten Familienurlaub ab 3 Personen</t>
  </si>
  <si>
    <t>Total Revenue</t>
  </si>
  <si>
    <t>% Kommission pro Buchung</t>
  </si>
  <si>
    <t>Operational expenditure</t>
  </si>
  <si>
    <t>Social Media Marketing Budget</t>
  </si>
  <si>
    <t>Micro-Influencer Partnerships in the beginning and own content creation</t>
  </si>
  <si>
    <t>Content Creation (Grafics, Videos, et cetera)</t>
  </si>
  <si>
    <t>Own Content Creation - Short videos et cetera</t>
  </si>
  <si>
    <t>Total Marketing</t>
  </si>
  <si>
    <t>Chat GPT Requests/ Running Cost</t>
  </si>
  <si>
    <t>Pre money bewertung</t>
  </si>
  <si>
    <t>Chat GPT Request per User Request</t>
  </si>
  <si>
    <t>einstieg investor</t>
  </si>
  <si>
    <t>Cost per Request</t>
  </si>
  <si>
    <t>Total AI-Cost</t>
  </si>
  <si>
    <t>Founders</t>
  </si>
  <si>
    <t>Founders Salary*</t>
  </si>
  <si>
    <t>Employer Gross (x1,27)</t>
  </si>
  <si>
    <t>Total Salary Founders</t>
  </si>
  <si>
    <t>Other Employees</t>
  </si>
  <si>
    <t>Avg. Salary</t>
  </si>
  <si>
    <t>Total Salary Others</t>
  </si>
  <si>
    <t>Human Resource Total</t>
  </si>
  <si>
    <t>Funding costs</t>
  </si>
  <si>
    <t>PnL</t>
  </si>
  <si>
    <t>Dividends to Founders*</t>
  </si>
  <si>
    <t>Bei Gewinn &gt; 50.000 werden anfänglich niedriges Gehalt durch Gewinnausschüttungen kompensiert</t>
  </si>
  <si>
    <t>Inputs</t>
  </si>
  <si>
    <t xml:space="preserve"> </t>
  </si>
  <si>
    <t>Monthly Growth Rate</t>
  </si>
  <si>
    <t>Marketing Budget Rate</t>
  </si>
  <si>
    <t>Guide</t>
  </si>
  <si>
    <t>About the model</t>
  </si>
  <si>
    <t>This section explains the purpose of the model</t>
  </si>
  <si>
    <t>Purpose</t>
  </si>
  <si>
    <t>►</t>
  </si>
  <si>
    <t>The model is designed to provide a tutorial on how to incorporate a best practise cashflow waterfall in your financial models.</t>
  </si>
  <si>
    <t>Key</t>
  </si>
  <si>
    <t>This section describes the formatting used in the model</t>
  </si>
  <si>
    <t>Key model format</t>
  </si>
  <si>
    <t>Assumption</t>
  </si>
  <si>
    <t>Cells that a user can change</t>
  </si>
  <si>
    <t>Technical_Input</t>
  </si>
  <si>
    <t>Cells with inputs that should not be changed</t>
  </si>
  <si>
    <t>InSheet</t>
  </si>
  <si>
    <t>Referencing cells from within sheet</t>
  </si>
  <si>
    <t>OffSheet</t>
  </si>
  <si>
    <t>Referencing cells from a different sheet</t>
  </si>
  <si>
    <t>Line_Summary</t>
  </si>
  <si>
    <t>Addition of all cells to the right</t>
  </si>
  <si>
    <t>Header format</t>
  </si>
  <si>
    <t>Header0</t>
  </si>
  <si>
    <t>H0 Header0</t>
  </si>
  <si>
    <t>Header1</t>
  </si>
  <si>
    <t>H1 Header1</t>
  </si>
  <si>
    <t>Header2</t>
  </si>
  <si>
    <t>H2 Header2</t>
  </si>
  <si>
    <t>Header3</t>
  </si>
  <si>
    <t>H3 Header3</t>
  </si>
  <si>
    <t>Header4</t>
  </si>
  <si>
    <t>H4 Header4</t>
  </si>
  <si>
    <t>Sheet_Header</t>
  </si>
  <si>
    <t>SH Sheet_Header</t>
  </si>
  <si>
    <t>Table_Heading</t>
  </si>
  <si>
    <t>TA Table_Heading</t>
  </si>
  <si>
    <t>Cell format</t>
  </si>
  <si>
    <t>Comma [0]</t>
  </si>
  <si>
    <t>C0 Comma [0]</t>
  </si>
  <si>
    <t>Comma 2</t>
  </si>
  <si>
    <t>C2 Comma 2</t>
  </si>
  <si>
    <t>Date</t>
  </si>
  <si>
    <t>DA Date</t>
  </si>
  <si>
    <t>Empty_Cell</t>
  </si>
  <si>
    <t>EM Empty_Cell</t>
  </si>
  <si>
    <t>Flag</t>
  </si>
  <si>
    <t>FL Flag</t>
  </si>
  <si>
    <t>IS InSheet</t>
  </si>
  <si>
    <t>Line_ClosingBal</t>
  </si>
  <si>
    <t>LC Line_ClosingBal</t>
  </si>
  <si>
    <t>Line_Operation</t>
  </si>
  <si>
    <t>LO Line_Operation</t>
  </si>
  <si>
    <t>Line_SubTotal</t>
  </si>
  <si>
    <t>LS Line_SubTotal</t>
  </si>
  <si>
    <t>Line_Total</t>
  </si>
  <si>
    <t>LT Line_Total</t>
  </si>
  <si>
    <t>Normal</t>
  </si>
  <si>
    <t>Percent</t>
  </si>
  <si>
    <t>PE Percent</t>
  </si>
  <si>
    <t>Ratio</t>
  </si>
  <si>
    <t>RA Ratio</t>
  </si>
  <si>
    <t>Unit</t>
  </si>
  <si>
    <t>UN Unit</t>
  </si>
  <si>
    <t>Cashflow</t>
  </si>
  <si>
    <t>Bilanz</t>
  </si>
  <si>
    <t>Aktiva</t>
  </si>
  <si>
    <t>Anlagevermögen</t>
  </si>
  <si>
    <t>000€</t>
  </si>
  <si>
    <t>Umlaufvermögen</t>
  </si>
  <si>
    <t>Barmittel (Kassenbestand)</t>
  </si>
  <si>
    <t>Geldanlage</t>
  </si>
  <si>
    <t>Forderungen aus Lieferungen und Leistungen</t>
  </si>
  <si>
    <t>Lagerbestand (Vorräte)</t>
  </si>
  <si>
    <t>Summe Umlaufvermögen</t>
  </si>
  <si>
    <t>Summe Aktiva</t>
  </si>
  <si>
    <t>Passiva</t>
  </si>
  <si>
    <t>Eigenkapital</t>
  </si>
  <si>
    <t>gezeichnetes Kapital</t>
  </si>
  <si>
    <t>Eigenkapital (ohne gez. Kapital)</t>
  </si>
  <si>
    <t>Gewinnrücklage inkl. Gewinn- / Verlustvorträge</t>
  </si>
  <si>
    <t>Summe Eigenkapital</t>
  </si>
  <si>
    <t>Verbindlichkeiten</t>
  </si>
  <si>
    <t>Verbindlichkeiten aus Lieferungen und Leistungen</t>
  </si>
  <si>
    <t>Verbindlichkeiten gegenüber Kreditinstituten</t>
  </si>
  <si>
    <t>Summe Verbindlichkeiten</t>
  </si>
  <si>
    <t>Summe Passiva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</si>
</sst>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mm&quot;-&quot;yy"/>
    <numFmt numFmtId="165" formatCode="#,##0\ [$€-1]"/>
    <numFmt numFmtId="166" formatCode="mmm\ d"/>
    <numFmt numFmtId="167" formatCode="_(* #,##0_);_(* \(#,##0\);_(* &quot;-&quot;??_);_(@_)"/>
    <numFmt numFmtId="168" formatCode="d\-mmm\-yy\ ;@"/>
    <numFmt numFmtId="169" formatCode="d\-mmm\-yyyy\ ;@"/>
    <numFmt numFmtId="170" formatCode="#,##0_-;\ \(#,##0\);_-* &quot;-&quot;??;_-@_-"/>
    <numFmt numFmtId="171" formatCode="_(* #,##0.00%_);_(* \(#,##0.00%\);_(* &quot;-&quot;??_);_(@_)"/>
    <numFmt numFmtId="172" formatCode="_(* #,##0.00\x_);_(* \(#,##0.00\x\);_(* &quot;-&quot;??_);_(@_)"/>
    <numFmt numFmtId="173" formatCode="_(* #,##0.00_);_(* \(#,##0.00\);_(* &quot;-&quot;??_);_(@_)"/>
    <numFmt numFmtId="174" formatCode="&quot;Fail&quot;;&quot;Fail&quot;;&quot;Ok&quot;"/>
  </numFmts>
  <fonts count="39">
    <font>
      <sz val="11"/>
      <color theme="1"/>
      <name val="Calibri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color rgb="FF003366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8"/>
      <color rgb="FF0071CE"/>
      <name val="Arial"/>
      <family val="2"/>
    </font>
    <font>
      <i/>
      <sz val="10"/>
      <color rgb="FF003366"/>
      <name val="Arial"/>
      <family val="2"/>
    </font>
    <font>
      <b/>
      <sz val="14"/>
      <color rgb="FF0071CE"/>
      <name val="Arial"/>
      <family val="2"/>
    </font>
    <font>
      <b/>
      <sz val="12"/>
      <color rgb="FF00549A"/>
      <name val="Arial"/>
      <family val="2"/>
    </font>
    <font>
      <b/>
      <sz val="12"/>
      <name val="Arial"/>
      <family val="2"/>
    </font>
    <font>
      <sz val="11"/>
      <color theme="0" tint="-0.249977111117893"/>
      <name val="Arial"/>
      <family val="2"/>
    </font>
    <font>
      <sz val="10"/>
      <color theme="3"/>
      <name val="Arial"/>
      <family val="2"/>
    </font>
    <font>
      <sz val="10"/>
      <color theme="1" tint="0.34998626667073579"/>
      <name val="Arial"/>
      <family val="2"/>
    </font>
    <font>
      <i/>
      <sz val="10"/>
      <color rgb="FF004080"/>
      <name val="Arial"/>
      <family val="2"/>
    </font>
    <font>
      <sz val="10"/>
      <color rgb="FF974706"/>
      <name val="Arial"/>
      <family val="2"/>
    </font>
    <font>
      <b/>
      <i/>
      <sz val="11"/>
      <color rgb="FF003866"/>
      <name val="Arial"/>
      <family val="2"/>
    </font>
    <font>
      <b/>
      <sz val="10"/>
      <color rgb="FF001B32"/>
      <name val="Arial"/>
      <family val="2"/>
    </font>
    <font>
      <sz val="10"/>
      <color theme="0" tint="-0.24994659260841701"/>
      <name val="Arial"/>
      <family val="2"/>
    </font>
    <font>
      <sz val="10"/>
      <color theme="1" tint="0.499984740745262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549A"/>
      <name val="Arial"/>
      <family val="2"/>
    </font>
    <font>
      <b/>
      <sz val="10"/>
      <color rgb="FF003366"/>
      <name val="Arial"/>
      <family val="2"/>
    </font>
    <font>
      <b/>
      <i/>
      <sz val="10"/>
      <color rgb="FF003866"/>
      <name val="Arial"/>
      <family val="2"/>
    </font>
    <font>
      <b/>
      <sz val="16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595959"/>
        <bgColor indexed="64"/>
      </patternFill>
    </fill>
    <fill>
      <patternFill patternType="mediumGray">
        <fgColor theme="1" tint="0.34998626667073579"/>
        <bgColor indexed="65"/>
      </patternFill>
    </fill>
    <fill>
      <patternFill patternType="lightUp">
        <fgColor theme="0" tint="-0.24994659260841701"/>
        <bgColor indexed="65"/>
      </patternFill>
    </fill>
    <fill>
      <patternFill patternType="solid">
        <fgColor theme="2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787878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 tint="0.34998626667073579"/>
      </top>
      <bottom style="double">
        <color theme="1" tint="0.34998626667073579"/>
      </bottom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medium">
        <color indexed="64"/>
      </bottom>
      <diagonal/>
    </border>
  </borders>
  <cellStyleXfs count="28">
    <xf numFmtId="0" fontId="0" fillId="0" borderId="0"/>
    <xf numFmtId="0" fontId="15" fillId="7" borderId="5" applyNumberFormat="0">
      <alignment horizontal="left" indent="1"/>
    </xf>
    <xf numFmtId="0" fontId="16" fillId="0" borderId="0">
      <alignment vertical="top"/>
    </xf>
    <xf numFmtId="0" fontId="18" fillId="0" borderId="6" applyNumberFormat="0" applyAlignment="0"/>
    <xf numFmtId="0" fontId="20" fillId="0" borderId="0" applyNumberFormat="0" applyFill="0" applyBorder="0" applyAlignment="0"/>
    <xf numFmtId="0" fontId="21" fillId="0" borderId="0" applyNumberFormat="0" applyFill="0" applyBorder="0" applyAlignment="0"/>
    <xf numFmtId="0" fontId="24" fillId="8" borderId="7" applyNumberFormat="0" applyAlignment="0">
      <protection locked="0"/>
    </xf>
    <xf numFmtId="0" fontId="25" fillId="7" borderId="8" applyNumberFormat="0" applyAlignment="0"/>
    <xf numFmtId="2" fontId="26" fillId="0" borderId="0" applyNumberFormat="0"/>
    <xf numFmtId="0" fontId="17" fillId="0" borderId="9" applyNumberFormat="0" applyFont="0" applyAlignment="0"/>
    <xf numFmtId="0" fontId="27" fillId="7" borderId="10" applyNumberFormat="0" applyAlignment="0"/>
    <xf numFmtId="0" fontId="17" fillId="7" borderId="8" applyNumberFormat="0" applyAlignment="0" applyProtection="0"/>
    <xf numFmtId="0" fontId="28" fillId="0" borderId="0" applyNumberFormat="0" applyFill="0" applyBorder="0" applyAlignment="0"/>
    <xf numFmtId="0" fontId="29" fillId="0" borderId="0"/>
    <xf numFmtId="0" fontId="9" fillId="9" borderId="10" applyNumberFormat="0">
      <alignment horizontal="centerContinuous" vertical="center" wrapText="1"/>
    </xf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10" borderId="8" applyNumberFormat="0" applyFont="0" applyAlignment="0"/>
    <xf numFmtId="170" fontId="30" fillId="11" borderId="11"/>
    <xf numFmtId="0" fontId="17" fillId="0" borderId="12" applyNumberFormat="0" applyFont="0" applyFill="0" applyAlignment="0" applyProtection="0"/>
    <xf numFmtId="0" fontId="17" fillId="0" borderId="13" applyNumberFormat="0" applyFont="0" applyFill="0" applyAlignment="0" applyProtection="0"/>
    <xf numFmtId="0" fontId="17" fillId="0" borderId="14" applyNumberFormat="0" applyFont="0" applyFill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31" fillId="0" borderId="0" applyNumberFormat="0" applyFill="0" applyBorder="0" applyAlignment="0"/>
    <xf numFmtId="173" fontId="17" fillId="0" borderId="0" applyFont="0" applyFill="0" applyBorder="0" applyAlignment="0" applyProtection="0"/>
    <xf numFmtId="0" fontId="16" fillId="0" borderId="15" applyNumberFormat="0">
      <alignment horizontal="center"/>
    </xf>
    <xf numFmtId="174" fontId="25" fillId="0" borderId="8">
      <alignment horizontal="center"/>
    </xf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5" fillId="0" borderId="2" xfId="0" applyFont="1" applyBorder="1" applyAlignment="1">
      <alignment horizontal="right"/>
    </xf>
    <xf numFmtId="0" fontId="4" fillId="0" borderId="0" xfId="0" quotePrefix="1" applyFont="1"/>
    <xf numFmtId="0" fontId="4" fillId="5" borderId="1" xfId="0" quotePrefix="1" applyFont="1" applyFill="1" applyBorder="1"/>
    <xf numFmtId="0" fontId="4" fillId="4" borderId="4" xfId="0" quotePrefix="1" applyFont="1" applyFill="1" applyBorder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/>
    <xf numFmtId="166" fontId="12" fillId="6" borderId="0" xfId="0" applyNumberFormat="1" applyFont="1" applyFill="1" applyAlignment="1">
      <alignment horizontal="center"/>
    </xf>
    <xf numFmtId="164" fontId="12" fillId="6" borderId="2" xfId="0" applyNumberFormat="1" applyFont="1" applyFill="1" applyBorder="1" applyAlignment="1">
      <alignment horizontal="center"/>
    </xf>
    <xf numFmtId="0" fontId="11" fillId="6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/>
    <xf numFmtId="3" fontId="12" fillId="0" borderId="0" xfId="0" applyNumberFormat="1" applyFont="1"/>
    <xf numFmtId="0" fontId="12" fillId="0" borderId="0" xfId="0" applyFont="1" applyAlignment="1">
      <alignment horizontal="right"/>
    </xf>
    <xf numFmtId="3" fontId="12" fillId="0" borderId="0" xfId="0" applyNumberFormat="1" applyFont="1" applyAlignment="1">
      <alignment horizontal="right"/>
    </xf>
    <xf numFmtId="1" fontId="12" fillId="2" borderId="0" xfId="0" applyNumberFormat="1" applyFont="1" applyFill="1" applyAlignment="1">
      <alignment horizontal="right"/>
    </xf>
    <xf numFmtId="0" fontId="14" fillId="0" borderId="0" xfId="0" applyFont="1"/>
    <xf numFmtId="0" fontId="12" fillId="0" borderId="0" xfId="0" applyFont="1"/>
    <xf numFmtId="165" fontId="14" fillId="0" borderId="0" xfId="0" applyNumberFormat="1" applyFont="1"/>
    <xf numFmtId="3" fontId="12" fillId="0" borderId="0" xfId="0" applyNumberFormat="1" applyFont="1" applyAlignment="1">
      <alignment horizontal="left"/>
    </xf>
    <xf numFmtId="165" fontId="12" fillId="2" borderId="0" xfId="0" applyNumberFormat="1" applyFont="1" applyFill="1" applyAlignment="1">
      <alignment horizontal="right"/>
    </xf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left"/>
    </xf>
    <xf numFmtId="165" fontId="14" fillId="2" borderId="0" xfId="0" applyNumberFormat="1" applyFont="1" applyFill="1" applyAlignment="1">
      <alignment horizontal="right"/>
    </xf>
    <xf numFmtId="0" fontId="15" fillId="7" borderId="5" xfId="1">
      <alignment horizontal="left" indent="1"/>
    </xf>
    <xf numFmtId="0" fontId="16" fillId="7" borderId="5" xfId="2" applyFill="1" applyBorder="1">
      <alignment vertical="top"/>
    </xf>
    <xf numFmtId="0" fontId="16" fillId="0" borderId="0" xfId="2">
      <alignment vertical="top"/>
    </xf>
    <xf numFmtId="0" fontId="17" fillId="0" borderId="0" xfId="2" applyFont="1">
      <alignment vertical="top"/>
    </xf>
    <xf numFmtId="0" fontId="18" fillId="0" borderId="6" xfId="3"/>
    <xf numFmtId="0" fontId="19" fillId="0" borderId="0" xfId="2" applyFont="1">
      <alignment vertical="top"/>
    </xf>
    <xf numFmtId="0" fontId="20" fillId="0" borderId="0" xfId="4"/>
    <xf numFmtId="0" fontId="22" fillId="0" borderId="0" xfId="5" applyFont="1"/>
    <xf numFmtId="0" fontId="23" fillId="0" borderId="0" xfId="2" applyFont="1" applyAlignment="1">
      <alignment horizontal="center" vertical="center"/>
    </xf>
    <xf numFmtId="0" fontId="24" fillId="8" borderId="7" xfId="6">
      <protection locked="0"/>
    </xf>
    <xf numFmtId="0" fontId="17" fillId="0" borderId="0" xfId="2" applyFont="1" applyAlignment="1"/>
    <xf numFmtId="0" fontId="25" fillId="7" borderId="8" xfId="7"/>
    <xf numFmtId="0" fontId="19" fillId="0" borderId="0" xfId="8" applyNumberFormat="1" applyFont="1"/>
    <xf numFmtId="0" fontId="17" fillId="0" borderId="9" xfId="9" applyAlignment="1">
      <alignment horizontal="right"/>
    </xf>
    <xf numFmtId="0" fontId="27" fillId="7" borderId="10" xfId="10"/>
    <xf numFmtId="0" fontId="17" fillId="7" borderId="8" xfId="11"/>
    <xf numFmtId="0" fontId="18" fillId="0" borderId="6" xfId="3" applyAlignment="1">
      <alignment horizontal="center" vertical="center"/>
    </xf>
    <xf numFmtId="0" fontId="20" fillId="0" borderId="0" xfId="4" applyAlignment="1">
      <alignment horizontal="center" vertical="center"/>
    </xf>
    <xf numFmtId="0" fontId="21" fillId="0" borderId="0" xfId="5" applyAlignment="1">
      <alignment horizontal="center" vertical="center"/>
    </xf>
    <xf numFmtId="0" fontId="28" fillId="0" borderId="0" xfId="12" applyAlignment="1">
      <alignment horizontal="center" vertical="center"/>
    </xf>
    <xf numFmtId="0" fontId="29" fillId="0" borderId="0" xfId="13" applyAlignment="1">
      <alignment horizontal="center"/>
    </xf>
    <xf numFmtId="0" fontId="15" fillId="7" borderId="5" xfId="1" applyAlignment="1">
      <alignment horizontal="center"/>
    </xf>
    <xf numFmtId="0" fontId="9" fillId="9" borderId="10" xfId="14">
      <alignment horizontal="centerContinuous" vertical="center" wrapText="1"/>
    </xf>
    <xf numFmtId="167" fontId="0" fillId="0" borderId="0" xfId="15" applyFont="1" applyAlignment="1">
      <alignment horizontal="center"/>
    </xf>
    <xf numFmtId="0" fontId="16" fillId="0" borderId="0" xfId="2" applyAlignment="1">
      <alignment horizontal="center"/>
    </xf>
    <xf numFmtId="169" fontId="0" fillId="0" borderId="0" xfId="16" applyNumberFormat="1" applyFont="1" applyAlignment="1">
      <alignment horizontal="center"/>
    </xf>
    <xf numFmtId="0" fontId="0" fillId="10" borderId="8" xfId="17" applyFont="1" applyAlignment="1">
      <alignment horizontal="center"/>
    </xf>
    <xf numFmtId="170" fontId="30" fillId="11" borderId="11" xfId="18" applyAlignment="1">
      <alignment horizontal="center"/>
    </xf>
    <xf numFmtId="0" fontId="17" fillId="0" borderId="0" xfId="9" applyBorder="1" applyAlignment="1">
      <alignment horizontal="center"/>
    </xf>
    <xf numFmtId="0" fontId="0" fillId="0" borderId="12" xfId="19" applyFont="1" applyAlignment="1">
      <alignment horizontal="center"/>
    </xf>
    <xf numFmtId="0" fontId="16" fillId="0" borderId="0" xfId="2" applyAlignment="1"/>
    <xf numFmtId="0" fontId="0" fillId="0" borderId="13" xfId="20" applyFont="1" applyAlignment="1">
      <alignment horizontal="center"/>
    </xf>
    <xf numFmtId="0" fontId="0" fillId="0" borderId="14" xfId="21" applyFont="1" applyAlignment="1">
      <alignment horizontal="center"/>
    </xf>
    <xf numFmtId="0" fontId="0" fillId="0" borderId="15" xfId="21" applyFont="1" applyBorder="1" applyAlignment="1">
      <alignment horizontal="center"/>
    </xf>
    <xf numFmtId="171" fontId="0" fillId="0" borderId="0" xfId="22" applyFont="1" applyAlignment="1">
      <alignment horizontal="center"/>
    </xf>
    <xf numFmtId="172" fontId="0" fillId="0" borderId="0" xfId="23" applyFont="1" applyAlignment="1">
      <alignment horizontal="center"/>
    </xf>
    <xf numFmtId="0" fontId="31" fillId="0" borderId="0" xfId="24" applyAlignment="1">
      <alignment horizontal="center"/>
    </xf>
    <xf numFmtId="0" fontId="21" fillId="0" borderId="0" xfId="5" applyAlignment="1">
      <alignment vertical="top"/>
    </xf>
    <xf numFmtId="173" fontId="32" fillId="0" borderId="15" xfId="26" applyNumberFormat="1" applyFont="1">
      <alignment horizontal="center"/>
    </xf>
    <xf numFmtId="0" fontId="32" fillId="0" borderId="15" xfId="26" applyFont="1" applyAlignment="1">
      <alignment horizontal="left"/>
    </xf>
    <xf numFmtId="164" fontId="33" fillId="0" borderId="2" xfId="0" applyNumberFormat="1" applyFont="1" applyBorder="1" applyAlignment="1">
      <alignment horizontal="center"/>
    </xf>
    <xf numFmtId="0" fontId="34" fillId="0" borderId="0" xfId="0" applyFont="1"/>
    <xf numFmtId="0" fontId="34" fillId="0" borderId="0" xfId="0" applyFont="1" applyAlignment="1">
      <alignment vertical="top"/>
    </xf>
    <xf numFmtId="0" fontId="8" fillId="0" borderId="16" xfId="21" applyFont="1" applyFill="1" applyBorder="1"/>
    <xf numFmtId="173" fontId="8" fillId="0" borderId="16" xfId="21" applyNumberFormat="1" applyFont="1" applyFill="1" applyBorder="1"/>
    <xf numFmtId="0" fontId="8" fillId="0" borderId="0" xfId="21" applyFont="1" applyFill="1" applyBorder="1"/>
    <xf numFmtId="173" fontId="8" fillId="0" borderId="0" xfId="21" applyNumberFormat="1" applyFont="1" applyFill="1" applyBorder="1"/>
    <xf numFmtId="173" fontId="8" fillId="0" borderId="0" xfId="21" applyNumberFormat="1" applyFont="1" applyBorder="1"/>
    <xf numFmtId="0" fontId="8" fillId="0" borderId="16" xfId="21" applyFont="1" applyBorder="1"/>
    <xf numFmtId="0" fontId="8" fillId="0" borderId="14" xfId="21" applyFont="1"/>
    <xf numFmtId="173" fontId="8" fillId="0" borderId="14" xfId="21" applyNumberFormat="1" applyFont="1"/>
    <xf numFmtId="0" fontId="2" fillId="0" borderId="0" xfId="0" applyFont="1"/>
    <xf numFmtId="0" fontId="35" fillId="0" borderId="0" xfId="5" applyFont="1" applyAlignment="1">
      <alignment vertical="top"/>
    </xf>
    <xf numFmtId="0" fontId="8" fillId="0" borderId="0" xfId="0" applyFont="1"/>
    <xf numFmtId="9" fontId="24" fillId="8" borderId="17" xfId="6" applyNumberFormat="1" applyBorder="1">
      <protection locked="0"/>
    </xf>
    <xf numFmtId="3" fontId="37" fillId="0" borderId="0" xfId="12" applyNumberFormat="1" applyFont="1"/>
    <xf numFmtId="0" fontId="37" fillId="0" borderId="0" xfId="12" applyFont="1"/>
    <xf numFmtId="0" fontId="4" fillId="0" borderId="0" xfId="0" applyFont="1" applyAlignment="1">
      <alignment horizontal="right"/>
    </xf>
    <xf numFmtId="0" fontId="4" fillId="5" borderId="1" xfId="0" applyFont="1" applyFill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5" borderId="1" xfId="0" applyNumberFormat="1" applyFont="1" applyFill="1" applyBorder="1" applyAlignment="1">
      <alignment horizontal="right"/>
    </xf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8" fillId="0" borderId="14" xfId="21" applyFont="1" applyFill="1"/>
    <xf numFmtId="173" fontId="8" fillId="0" borderId="14" xfId="25" applyFont="1" applyFill="1" applyBorder="1"/>
    <xf numFmtId="0" fontId="2" fillId="12" borderId="0" xfId="0" applyFont="1" applyFill="1"/>
    <xf numFmtId="0" fontId="2" fillId="12" borderId="18" xfId="0" applyFont="1" applyFill="1" applyBorder="1"/>
    <xf numFmtId="0" fontId="38" fillId="12" borderId="19" xfId="0" applyFont="1" applyFill="1" applyBorder="1"/>
    <xf numFmtId="173" fontId="24" fillId="8" borderId="7" xfId="6" applyNumberFormat="1">
      <protection locked="0"/>
    </xf>
    <xf numFmtId="9" fontId="24" fillId="8" borderId="7" xfId="6" applyNumberFormat="1">
      <protection locked="0"/>
    </xf>
    <xf numFmtId="3" fontId="33" fillId="0" borderId="20" xfId="0" applyNumberFormat="1" applyFont="1" applyBorder="1"/>
    <xf numFmtId="0" fontId="8" fillId="0" borderId="16" xfId="0" applyFont="1" applyBorder="1"/>
    <xf numFmtId="0" fontId="4" fillId="5" borderId="1" xfId="0" applyFont="1" applyFill="1" applyBorder="1"/>
    <xf numFmtId="0" fontId="1" fillId="12" borderId="0" xfId="0" applyFont="1" applyFill="1"/>
    <xf numFmtId="0" fontId="8" fillId="12" borderId="0" xfId="0" applyFont="1" applyFill="1"/>
    <xf numFmtId="164" fontId="33" fillId="0" borderId="2" xfId="0" applyNumberFormat="1" applyFont="1" applyFill="1" applyBorder="1" applyAlignment="1">
      <alignment horizontal="center"/>
    </xf>
    <xf numFmtId="164" fontId="33" fillId="0" borderId="2" xfId="0" applyNumberFormat="1" applyFont="1" applyBorder="1" applyAlignment="1">
      <alignment horizontal="right"/>
    </xf>
    <xf numFmtId="0" fontId="34" fillId="0" borderId="21" xfId="0" applyFont="1" applyBorder="1"/>
    <xf numFmtId="0" fontId="8" fillId="0" borderId="21" xfId="0" applyFont="1" applyBorder="1" applyAlignment="1">
      <alignment horizontal="right"/>
    </xf>
    <xf numFmtId="0" fontId="8" fillId="0" borderId="21" xfId="0" applyFont="1" applyBorder="1" applyAlignment="1">
      <alignment horizontal="center"/>
    </xf>
    <xf numFmtId="0" fontId="0" fillId="0" borderId="0" xfId="0" applyBorder="1"/>
    <xf numFmtId="0" fontId="15" fillId="7" borderId="22" xfId="1" applyBorder="1">
      <alignment horizontal="left" indent="1"/>
    </xf>
    <xf numFmtId="0" fontId="36" fillId="7" borderId="22" xfId="1" applyFont="1" applyBorder="1">
      <alignment horizontal="left" indent="1"/>
    </xf>
    <xf numFmtId="0" fontId="36" fillId="12" borderId="22" xfId="1" applyFont="1" applyFill="1" applyBorder="1">
      <alignment horizontal="left" indent="1"/>
    </xf>
    <xf numFmtId="0" fontId="17" fillId="0" borderId="0" xfId="2" applyFont="1" applyAlignment="1">
      <alignment vertical="top" wrapText="1"/>
    </xf>
    <xf numFmtId="0" fontId="1" fillId="0" borderId="0" xfId="0" applyFont="1"/>
    <xf numFmtId="0" fontId="1" fillId="12" borderId="18" xfId="0" applyFont="1" applyFill="1" applyBorder="1"/>
    <xf numFmtId="173" fontId="1" fillId="0" borderId="0" xfId="25" applyFont="1"/>
    <xf numFmtId="9" fontId="1" fillId="0" borderId="0" xfId="0" applyNumberFormat="1" applyFont="1"/>
    <xf numFmtId="173" fontId="1" fillId="0" borderId="0" xfId="25" applyFont="1" applyFill="1"/>
    <xf numFmtId="173" fontId="1" fillId="0" borderId="0" xfId="25" applyFont="1" applyBorder="1"/>
    <xf numFmtId="0" fontId="1" fillId="0" borderId="0" xfId="21" applyFont="1" applyFill="1" applyBorder="1"/>
    <xf numFmtId="0" fontId="1" fillId="0" borderId="0" xfId="21" applyFont="1" applyBorder="1"/>
    <xf numFmtId="173" fontId="1" fillId="0" borderId="16" xfId="25" applyFont="1" applyBorder="1"/>
    <xf numFmtId="173" fontId="1" fillId="0" borderId="20" xfId="0" applyNumberFormat="1" applyFont="1" applyBorder="1"/>
    <xf numFmtId="0" fontId="1" fillId="0" borderId="10" xfId="0" applyFont="1" applyBorder="1"/>
    <xf numFmtId="0" fontId="3" fillId="3" borderId="0" xfId="0" applyFont="1" applyFill="1" applyAlignment="1"/>
    <xf numFmtId="0" fontId="0" fillId="0" borderId="0" xfId="0" applyAlignment="1"/>
    <xf numFmtId="0" fontId="4" fillId="4" borderId="1" xfId="0" applyFont="1" applyFill="1" applyBorder="1" applyAlignment="1"/>
    <xf numFmtId="0" fontId="6" fillId="0" borderId="1" xfId="0" applyFont="1" applyBorder="1" applyAlignment="1"/>
    <xf numFmtId="0" fontId="4" fillId="5" borderId="1" xfId="0" applyFont="1" applyFill="1" applyBorder="1" applyAlignment="1"/>
    <xf numFmtId="0" fontId="4" fillId="4" borderId="3" xfId="0" applyFont="1" applyFill="1" applyBorder="1" applyAlignment="1"/>
    <xf numFmtId="0" fontId="6" fillId="0" borderId="3" xfId="0" applyFont="1" applyBorder="1" applyAlignment="1"/>
    <xf numFmtId="0" fontId="4" fillId="4" borderId="2" xfId="0" applyFont="1" applyFill="1" applyBorder="1" applyAlignment="1"/>
    <xf numFmtId="0" fontId="6" fillId="0" borderId="2" xfId="0" applyFont="1" applyBorder="1" applyAlignment="1"/>
    <xf numFmtId="0" fontId="4" fillId="5" borderId="2" xfId="0" applyFont="1" applyFill="1" applyBorder="1" applyAlignment="1"/>
  </cellXfs>
  <cellStyles count="28">
    <cellStyle name="AS Assumption" xfId="6" xr:uid="{F7672A39-EC81-4994-B570-DE03A3314D48}"/>
    <cellStyle name="C0 Comma [0]" xfId="15" xr:uid="{D8F3B6E6-2E50-4F6D-A419-8346903C2BE1}"/>
    <cellStyle name="C2 Comma 2" xfId="25" xr:uid="{014163B2-9268-41A8-B607-9C2DC30CF35E}"/>
    <cellStyle name="CH Check" xfId="27" xr:uid="{3467E38E-23C1-48E0-B025-66E7D6B0D207}"/>
    <cellStyle name="DA Date" xfId="16" xr:uid="{FCA03DCC-9199-4745-AD4E-E78C77C9353D}"/>
    <cellStyle name="EM Empty_Cell" xfId="17" xr:uid="{575357C4-7898-48A1-BE46-18D5439F895D}"/>
    <cellStyle name="FL Flag" xfId="18" xr:uid="{0B029480-21D9-4FFF-A1D4-D9DF4EAC6147}"/>
    <cellStyle name="H0 Header0" xfId="3" xr:uid="{DCBC7768-7CB4-4947-82DF-70D874AE34FC}"/>
    <cellStyle name="H1 Header1" xfId="4" xr:uid="{11E7CD20-637E-4A8D-8042-5DAC2DFDB527}"/>
    <cellStyle name="H2 Header2" xfId="5" xr:uid="{4B39BFCB-8D9F-4549-A2F9-67A3C965368A}"/>
    <cellStyle name="H3 Header3" xfId="12" xr:uid="{2916EDCD-ABCB-440C-940C-EF79BD5D17CC}"/>
    <cellStyle name="H4 Header4" xfId="13" xr:uid="{2949E851-D2EB-4629-978A-5DAD380C95F5}"/>
    <cellStyle name="IN Information" xfId="8" xr:uid="{C7956F79-48E2-4C42-ACE6-1FAC3FCE15AE}"/>
    <cellStyle name="IS InSheet" xfId="9" xr:uid="{94FDC3BD-9853-4AF3-94CF-092D2BF98A07}"/>
    <cellStyle name="LC Line_ClosingBal" xfId="19" xr:uid="{08ED4F7C-C0A4-4559-9B64-9BA55D9A3FB1}"/>
    <cellStyle name="LO Line_Operation" xfId="20" xr:uid="{C566D6BE-166E-41BF-8DEA-D14D986E9E2A}"/>
    <cellStyle name="LS Line_SubTotal" xfId="21" xr:uid="{95FD99BD-1234-41D9-B760-275D543A3686}"/>
    <cellStyle name="LT Line_Total" xfId="26" xr:uid="{9CF3E1C3-022B-49B0-B35A-C33239EE99A9}"/>
    <cellStyle name="LU Line_Summary" xfId="11" xr:uid="{32384BB2-5516-4A4B-B6A1-094D3BAA97F8}"/>
    <cellStyle name="OF OffSheet" xfId="10" xr:uid="{A06D50DD-B925-4F84-8DE2-17C9E9BB65CE}"/>
    <cellStyle name="PE Percent" xfId="22" xr:uid="{B08B86AD-6961-4B49-87B0-BE60CBB9A1AC}"/>
    <cellStyle name="RA Ratio" xfId="23" xr:uid="{6B2EE91F-3D55-4125-A8B7-1EFC5B7314AC}"/>
    <cellStyle name="SH Sheet_Header" xfId="1" xr:uid="{FEC303CD-5B27-48C2-8A08-BC9D60AC7078}"/>
    <cellStyle name="Standard" xfId="0" builtinId="0"/>
    <cellStyle name="Standard 2" xfId="2" xr:uid="{3B4EE0EE-DFFD-491E-AABF-DA51CFCF1580}"/>
    <cellStyle name="TA Table_Heading" xfId="14" xr:uid="{66A94EDA-183C-4915-B4BC-B38342951D17}"/>
    <cellStyle name="TE Technical_Input" xfId="7" xr:uid="{8A242F31-F504-45C0-A25B-5F995D5615A3}"/>
    <cellStyle name="UN Unit" xfId="24" xr:uid="{B4E1344C-CD6F-4193-82C3-64C37055D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%23%20Finanzen%20&amp;%20Steuern\06%20Vorlagen\Mazars_Excel_Vorlage.xlsx" TargetMode="External"/><Relationship Id="rId1" Type="http://schemas.openxmlformats.org/officeDocument/2006/relationships/externalLinkPath" Target="file:///W:\%23%20Finanzen%20&amp;%20Steuern\06%20Vorlagen\Mazars_Excel_Vorl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Assumptions"/>
      <sheetName val="CFW"/>
      <sheetName val="Tabelle1"/>
      <sheetName val="CFW (draft) (2)"/>
      <sheetName val="Tec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rnhard Wach" id="{C82445E4-EC58-4B3C-89EE-86403228BB50}" userId="S::bernhard.wach@hm.edu::535c0aac-0e93-4ebc-a897-f40dfd1f86f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5-06-05T05:26:17.46" personId="{C82445E4-EC58-4B3C-89EE-86403228BB50}" id="{6FB60BC8-8AF8-42BF-8E3D-576015908597}">
    <text xml:space="preserve">Gewinn vor Zinsen, Steuern und Abschreibungen auf Sachanlagen und immaterielle Vermögenswerte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1" dT="2025-06-05T05:26:17.46" personId="{C82445E4-EC58-4B3C-89EE-86403228BB50}" id="{1CE354E6-9939-4072-B511-4E4398DD8A5C}">
    <text xml:space="preserve">Gewinn vor Zinsen, Steuern und Abschreibungen auf Sachanlagen und immaterielle Vermögenswerte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22"/>
  <sheetViews>
    <sheetView showGridLines="0" zoomScaleNormal="100" workbookViewId="0">
      <pane xSplit="2" ySplit="2" topLeftCell="E3" activePane="bottomRight" state="frozen"/>
      <selection pane="bottomRight" activeCell="E22" sqref="E22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3.140625" style="10" customWidth="1"/>
    <col min="2" max="2" width="28.5703125" style="10" customWidth="1"/>
    <col min="3" max="3" width="1.5703125" style="10" customWidth="1"/>
    <col min="4" max="16384" width="14.42578125" style="10"/>
  </cols>
  <sheetData>
    <row r="1" spans="1:28" ht="12.7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28" s="13" customFormat="1" ht="12.75">
      <c r="A2" s="11"/>
      <c r="B2" s="11"/>
      <c r="C2" s="11"/>
      <c r="D2" s="12">
        <v>45658</v>
      </c>
      <c r="E2" s="12">
        <v>45689</v>
      </c>
      <c r="F2" s="12">
        <v>45717</v>
      </c>
      <c r="G2" s="12">
        <v>45748</v>
      </c>
      <c r="H2" s="12">
        <v>45778</v>
      </c>
      <c r="I2" s="12">
        <v>45809</v>
      </c>
      <c r="J2" s="12">
        <v>45839</v>
      </c>
      <c r="K2" s="12">
        <v>45870</v>
      </c>
      <c r="L2" s="12">
        <v>45901</v>
      </c>
      <c r="M2" s="12">
        <v>45931</v>
      </c>
      <c r="N2" s="12">
        <v>45962</v>
      </c>
      <c r="O2" s="12">
        <v>45992</v>
      </c>
      <c r="P2" s="12">
        <v>46023</v>
      </c>
      <c r="Q2" s="12">
        <v>46054</v>
      </c>
      <c r="R2" s="12">
        <v>46082</v>
      </c>
      <c r="S2" s="12">
        <v>46113</v>
      </c>
      <c r="T2" s="12">
        <v>46143</v>
      </c>
      <c r="U2" s="12">
        <v>46174</v>
      </c>
      <c r="V2" s="12">
        <v>46204</v>
      </c>
      <c r="W2" s="12">
        <v>46235</v>
      </c>
      <c r="X2" s="12">
        <v>46266</v>
      </c>
      <c r="Y2" s="12">
        <v>46296</v>
      </c>
      <c r="Z2" s="12">
        <v>46327</v>
      </c>
      <c r="AA2" s="12">
        <v>46357</v>
      </c>
      <c r="AB2" s="12"/>
    </row>
    <row r="3" spans="1:28" ht="12.75">
      <c r="A3" s="14"/>
      <c r="B3" s="15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28" ht="12.75">
      <c r="A4" s="14"/>
      <c r="B4" s="16" t="s">
        <v>1</v>
      </c>
      <c r="C4" s="14"/>
      <c r="D4" s="17">
        <v>5</v>
      </c>
      <c r="E4" s="17">
        <v>5</v>
      </c>
      <c r="F4" s="17">
        <v>5</v>
      </c>
      <c r="G4" s="17">
        <v>15</v>
      </c>
      <c r="H4" s="17">
        <v>15</v>
      </c>
      <c r="I4" s="17">
        <v>15</v>
      </c>
      <c r="J4" s="17">
        <v>25</v>
      </c>
      <c r="K4" s="17">
        <v>25</v>
      </c>
      <c r="L4" s="17">
        <v>25</v>
      </c>
      <c r="M4" s="17">
        <v>25</v>
      </c>
      <c r="N4" s="17">
        <v>25</v>
      </c>
      <c r="O4" s="17">
        <v>25</v>
      </c>
      <c r="P4" s="17">
        <v>25</v>
      </c>
      <c r="Q4" s="17">
        <v>25</v>
      </c>
      <c r="R4" s="17">
        <v>25</v>
      </c>
      <c r="S4" s="17">
        <v>25</v>
      </c>
      <c r="T4" s="17">
        <v>25</v>
      </c>
      <c r="U4" s="17">
        <v>25</v>
      </c>
      <c r="V4" s="17">
        <v>25</v>
      </c>
      <c r="W4" s="17">
        <v>25</v>
      </c>
      <c r="X4" s="17">
        <v>25</v>
      </c>
      <c r="Y4" s="17">
        <v>25</v>
      </c>
      <c r="Z4" s="17">
        <v>25</v>
      </c>
      <c r="AA4" s="17">
        <v>25</v>
      </c>
    </row>
    <row r="5" spans="1:28" ht="12.75">
      <c r="A5" s="18"/>
      <c r="B5" s="16" t="s">
        <v>2</v>
      </c>
      <c r="C5" s="18"/>
      <c r="D5" s="19">
        <v>0</v>
      </c>
      <c r="E5" s="19">
        <v>20</v>
      </c>
      <c r="F5" s="19">
        <v>20</v>
      </c>
      <c r="G5" s="19">
        <v>25</v>
      </c>
      <c r="H5" s="19">
        <v>15</v>
      </c>
      <c r="I5" s="19">
        <v>20</v>
      </c>
      <c r="J5" s="19">
        <v>20</v>
      </c>
      <c r="K5" s="19">
        <v>20</v>
      </c>
      <c r="L5" s="19">
        <v>20</v>
      </c>
      <c r="M5" s="19">
        <v>25</v>
      </c>
      <c r="N5" s="19">
        <v>25</v>
      </c>
      <c r="O5" s="19">
        <v>25</v>
      </c>
      <c r="P5" s="19">
        <v>25</v>
      </c>
      <c r="Q5" s="19">
        <v>25</v>
      </c>
      <c r="R5" s="19">
        <v>25</v>
      </c>
      <c r="S5" s="19">
        <v>25</v>
      </c>
      <c r="T5" s="19">
        <v>25</v>
      </c>
      <c r="U5" s="19">
        <v>25</v>
      </c>
      <c r="V5" s="19">
        <v>25</v>
      </c>
      <c r="W5" s="19">
        <v>25</v>
      </c>
      <c r="X5" s="19">
        <v>25</v>
      </c>
      <c r="Y5" s="19">
        <v>25</v>
      </c>
      <c r="Z5" s="19">
        <v>25</v>
      </c>
      <c r="AA5" s="19">
        <v>25</v>
      </c>
    </row>
    <row r="6" spans="1:28" ht="9" customHeight="1">
      <c r="A6" s="20"/>
      <c r="B6" s="21"/>
      <c r="C6" s="20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8" ht="12.75">
      <c r="A7" s="18"/>
      <c r="B7" s="23" t="s">
        <v>3</v>
      </c>
      <c r="C7" s="18"/>
      <c r="D7" s="24">
        <f>D5*D4</f>
        <v>0</v>
      </c>
      <c r="E7" s="24">
        <f t="shared" ref="E7:O7" si="0">E5*E4</f>
        <v>100</v>
      </c>
      <c r="F7" s="24">
        <f t="shared" si="0"/>
        <v>100</v>
      </c>
      <c r="G7" s="24">
        <f t="shared" si="0"/>
        <v>375</v>
      </c>
      <c r="H7" s="24">
        <f t="shared" si="0"/>
        <v>225</v>
      </c>
      <c r="I7" s="24">
        <f t="shared" si="0"/>
        <v>300</v>
      </c>
      <c r="J7" s="24">
        <f t="shared" si="0"/>
        <v>500</v>
      </c>
      <c r="K7" s="24">
        <f t="shared" si="0"/>
        <v>500</v>
      </c>
      <c r="L7" s="24">
        <f t="shared" si="0"/>
        <v>500</v>
      </c>
      <c r="M7" s="24">
        <f t="shared" si="0"/>
        <v>625</v>
      </c>
      <c r="N7" s="24">
        <f t="shared" si="0"/>
        <v>625</v>
      </c>
      <c r="O7" s="24">
        <f t="shared" si="0"/>
        <v>625</v>
      </c>
      <c r="P7" s="24">
        <f t="shared" ref="P7:AA7" si="1">P5*P4</f>
        <v>625</v>
      </c>
      <c r="Q7" s="24">
        <f t="shared" si="1"/>
        <v>625</v>
      </c>
      <c r="R7" s="24">
        <f t="shared" si="1"/>
        <v>625</v>
      </c>
      <c r="S7" s="24">
        <f t="shared" si="1"/>
        <v>625</v>
      </c>
      <c r="T7" s="24">
        <f t="shared" si="1"/>
        <v>625</v>
      </c>
      <c r="U7" s="24">
        <f t="shared" si="1"/>
        <v>625</v>
      </c>
      <c r="V7" s="24">
        <f t="shared" si="1"/>
        <v>625</v>
      </c>
      <c r="W7" s="24">
        <f t="shared" si="1"/>
        <v>625</v>
      </c>
      <c r="X7" s="24">
        <f t="shared" si="1"/>
        <v>625</v>
      </c>
      <c r="Y7" s="24">
        <f t="shared" si="1"/>
        <v>625</v>
      </c>
      <c r="Z7" s="24">
        <f t="shared" si="1"/>
        <v>625</v>
      </c>
      <c r="AA7" s="24">
        <f t="shared" si="1"/>
        <v>625</v>
      </c>
    </row>
    <row r="8" spans="1:28" ht="9" customHeight="1">
      <c r="A8" s="20"/>
      <c r="B8" s="21"/>
      <c r="C8" s="20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8" ht="12.75">
      <c r="A9" s="18"/>
      <c r="B9" s="23" t="s">
        <v>4</v>
      </c>
      <c r="C9" s="18"/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200</v>
      </c>
      <c r="K9" s="24">
        <v>300</v>
      </c>
      <c r="L9" s="24">
        <v>500</v>
      </c>
      <c r="M9" s="24">
        <v>0</v>
      </c>
      <c r="N9" s="24">
        <v>0</v>
      </c>
      <c r="O9" s="24">
        <v>0</v>
      </c>
      <c r="P9" s="24">
        <v>1</v>
      </c>
      <c r="Q9" s="24">
        <v>2</v>
      </c>
      <c r="R9" s="24">
        <v>3</v>
      </c>
      <c r="S9" s="24">
        <v>4</v>
      </c>
      <c r="T9" s="24">
        <v>5</v>
      </c>
      <c r="U9" s="24">
        <v>6</v>
      </c>
      <c r="V9" s="24">
        <v>7</v>
      </c>
      <c r="W9" s="24">
        <v>8</v>
      </c>
      <c r="X9" s="24">
        <v>9</v>
      </c>
      <c r="Y9" s="24">
        <v>10</v>
      </c>
      <c r="Z9" s="24">
        <v>11</v>
      </c>
      <c r="AA9" s="24">
        <v>12</v>
      </c>
    </row>
    <row r="10" spans="1:28" ht="9" customHeight="1">
      <c r="A10" s="20"/>
      <c r="B10" s="21"/>
      <c r="C10" s="20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8" ht="12.75">
      <c r="A11" s="18"/>
      <c r="B11" s="16" t="s">
        <v>5</v>
      </c>
      <c r="C11" s="18"/>
      <c r="D11" s="24">
        <f t="shared" ref="D11:L11" si="2">D12+D13</f>
        <v>800</v>
      </c>
      <c r="E11" s="24">
        <f t="shared" si="2"/>
        <v>1700</v>
      </c>
      <c r="F11" s="24">
        <f t="shared" si="2"/>
        <v>1700</v>
      </c>
      <c r="G11" s="24">
        <f t="shared" si="2"/>
        <v>1000</v>
      </c>
      <c r="H11" s="24">
        <f t="shared" si="2"/>
        <v>1700</v>
      </c>
      <c r="I11" s="24">
        <f t="shared" si="2"/>
        <v>1000</v>
      </c>
      <c r="J11" s="24">
        <f t="shared" si="2"/>
        <v>1000</v>
      </c>
      <c r="K11" s="24">
        <f t="shared" si="2"/>
        <v>1000</v>
      </c>
      <c r="L11" s="24">
        <f t="shared" si="2"/>
        <v>1000</v>
      </c>
      <c r="M11" s="24">
        <f t="shared" ref="M11:O11" si="3">M12+M13</f>
        <v>1700</v>
      </c>
      <c r="N11" s="24">
        <f t="shared" si="3"/>
        <v>1700</v>
      </c>
      <c r="O11" s="24">
        <f t="shared" si="3"/>
        <v>1700</v>
      </c>
      <c r="P11" s="24">
        <f t="shared" ref="P11:AA11" si="4">P12+P13</f>
        <v>1700</v>
      </c>
      <c r="Q11" s="24">
        <f t="shared" si="4"/>
        <v>1700</v>
      </c>
      <c r="R11" s="24">
        <f t="shared" si="4"/>
        <v>1700</v>
      </c>
      <c r="S11" s="24">
        <f t="shared" si="4"/>
        <v>1700</v>
      </c>
      <c r="T11" s="24">
        <f t="shared" si="4"/>
        <v>1700</v>
      </c>
      <c r="U11" s="24">
        <f t="shared" si="4"/>
        <v>1700</v>
      </c>
      <c r="V11" s="24">
        <f t="shared" si="4"/>
        <v>1700</v>
      </c>
      <c r="W11" s="24">
        <f t="shared" si="4"/>
        <v>1700</v>
      </c>
      <c r="X11" s="24">
        <f t="shared" si="4"/>
        <v>1700</v>
      </c>
      <c r="Y11" s="24">
        <f t="shared" si="4"/>
        <v>1700</v>
      </c>
      <c r="Z11" s="24">
        <f t="shared" si="4"/>
        <v>1700</v>
      </c>
      <c r="AA11" s="24">
        <f t="shared" si="4"/>
        <v>1700</v>
      </c>
    </row>
    <row r="12" spans="1:28" ht="12.75">
      <c r="A12" s="25"/>
      <c r="B12" s="26" t="s">
        <v>6</v>
      </c>
      <c r="C12" s="25"/>
      <c r="D12" s="27">
        <v>0</v>
      </c>
      <c r="E12" s="27">
        <v>900</v>
      </c>
      <c r="F12" s="27">
        <v>900</v>
      </c>
      <c r="G12" s="27">
        <v>900</v>
      </c>
      <c r="H12" s="27">
        <v>900</v>
      </c>
      <c r="I12" s="27">
        <v>900</v>
      </c>
      <c r="J12" s="27">
        <v>900</v>
      </c>
      <c r="K12" s="27">
        <v>900</v>
      </c>
      <c r="L12" s="27">
        <v>900</v>
      </c>
      <c r="M12" s="27">
        <v>900</v>
      </c>
      <c r="N12" s="27">
        <v>900</v>
      </c>
      <c r="O12" s="27">
        <v>900</v>
      </c>
      <c r="P12" s="27">
        <v>900</v>
      </c>
      <c r="Q12" s="27">
        <v>900</v>
      </c>
      <c r="R12" s="27">
        <v>900</v>
      </c>
      <c r="S12" s="27">
        <v>900</v>
      </c>
      <c r="T12" s="27">
        <v>900</v>
      </c>
      <c r="U12" s="27">
        <v>900</v>
      </c>
      <c r="V12" s="27">
        <v>900</v>
      </c>
      <c r="W12" s="27">
        <v>900</v>
      </c>
      <c r="X12" s="27">
        <v>900</v>
      </c>
      <c r="Y12" s="27">
        <v>900</v>
      </c>
      <c r="Z12" s="27">
        <v>900</v>
      </c>
      <c r="AA12" s="27">
        <v>900</v>
      </c>
    </row>
    <row r="13" spans="1:28" ht="12.75">
      <c r="A13" s="25"/>
      <c r="B13" s="26" t="s">
        <v>7</v>
      </c>
      <c r="C13" s="25"/>
      <c r="D13" s="27">
        <v>800</v>
      </c>
      <c r="E13" s="27">
        <v>800</v>
      </c>
      <c r="F13" s="27">
        <v>800</v>
      </c>
      <c r="G13" s="27">
        <v>100</v>
      </c>
      <c r="H13" s="27">
        <v>800</v>
      </c>
      <c r="I13" s="27">
        <v>100</v>
      </c>
      <c r="J13" s="27">
        <v>100</v>
      </c>
      <c r="K13" s="27">
        <v>100</v>
      </c>
      <c r="L13" s="27">
        <v>100</v>
      </c>
      <c r="M13" s="27">
        <v>800</v>
      </c>
      <c r="N13" s="27">
        <v>800</v>
      </c>
      <c r="O13" s="27">
        <v>800</v>
      </c>
      <c r="P13" s="27">
        <v>800</v>
      </c>
      <c r="Q13" s="27">
        <v>800</v>
      </c>
      <c r="R13" s="27">
        <v>800</v>
      </c>
      <c r="S13" s="27">
        <v>800</v>
      </c>
      <c r="T13" s="27">
        <v>800</v>
      </c>
      <c r="U13" s="27">
        <v>800</v>
      </c>
      <c r="V13" s="27">
        <v>800</v>
      </c>
      <c r="W13" s="27">
        <v>800</v>
      </c>
      <c r="X13" s="27">
        <v>800</v>
      </c>
      <c r="Y13" s="27">
        <v>800</v>
      </c>
      <c r="Z13" s="27">
        <v>800</v>
      </c>
      <c r="AA13" s="27">
        <v>800</v>
      </c>
    </row>
    <row r="14" spans="1:28" ht="9" customHeight="1">
      <c r="A14" s="20"/>
      <c r="B14" s="21"/>
      <c r="C14" s="20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8" ht="12.75">
      <c r="A15" s="18"/>
      <c r="B15" s="16" t="s">
        <v>8</v>
      </c>
      <c r="C15" s="18"/>
      <c r="D15" s="24">
        <v>20</v>
      </c>
      <c r="E15" s="24">
        <v>20</v>
      </c>
      <c r="F15" s="24">
        <v>20</v>
      </c>
      <c r="G15" s="24">
        <v>20</v>
      </c>
      <c r="H15" s="24">
        <v>20</v>
      </c>
      <c r="I15" s="24">
        <v>20</v>
      </c>
      <c r="J15" s="24">
        <v>20</v>
      </c>
      <c r="K15" s="24">
        <v>20</v>
      </c>
      <c r="L15" s="24">
        <v>20</v>
      </c>
      <c r="M15" s="24">
        <v>20</v>
      </c>
      <c r="N15" s="24">
        <v>20</v>
      </c>
      <c r="O15" s="24">
        <v>20</v>
      </c>
      <c r="P15" s="24">
        <v>20</v>
      </c>
      <c r="Q15" s="24">
        <v>20</v>
      </c>
      <c r="R15" s="24">
        <v>20</v>
      </c>
      <c r="S15" s="24">
        <v>20</v>
      </c>
      <c r="T15" s="24">
        <v>20</v>
      </c>
      <c r="U15" s="24">
        <v>20</v>
      </c>
      <c r="V15" s="24">
        <v>20</v>
      </c>
      <c r="W15" s="24">
        <v>20</v>
      </c>
      <c r="X15" s="24">
        <v>20</v>
      </c>
      <c r="Y15" s="24">
        <v>20</v>
      </c>
      <c r="Z15" s="24">
        <v>20</v>
      </c>
      <c r="AA15" s="24">
        <v>20</v>
      </c>
    </row>
    <row r="16" spans="1:28" ht="9" customHeight="1">
      <c r="A16" s="20"/>
      <c r="B16" s="21"/>
      <c r="C16" s="20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9" customHeight="1">
      <c r="A17" s="20"/>
      <c r="B17" s="21"/>
      <c r="C17" s="20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2.75">
      <c r="A18" s="18"/>
      <c r="B18" s="16" t="s">
        <v>9</v>
      </c>
      <c r="C18" s="18"/>
      <c r="D18" s="24">
        <f t="shared" ref="D18:M18" si="5">D19+D20</f>
        <v>2300</v>
      </c>
      <c r="E18" s="24">
        <f t="shared" si="5"/>
        <v>2300</v>
      </c>
      <c r="F18" s="24">
        <f t="shared" si="5"/>
        <v>2300</v>
      </c>
      <c r="G18" s="24">
        <f t="shared" si="5"/>
        <v>2300</v>
      </c>
      <c r="H18" s="24">
        <f t="shared" si="5"/>
        <v>2300</v>
      </c>
      <c r="I18" s="24">
        <f t="shared" si="5"/>
        <v>2300</v>
      </c>
      <c r="J18" s="24">
        <f t="shared" si="5"/>
        <v>2300</v>
      </c>
      <c r="K18" s="24">
        <f t="shared" si="5"/>
        <v>2300</v>
      </c>
      <c r="L18" s="24">
        <f t="shared" si="5"/>
        <v>2300</v>
      </c>
      <c r="M18" s="24">
        <f t="shared" si="5"/>
        <v>3000</v>
      </c>
      <c r="N18" s="24">
        <f t="shared" ref="N18:O18" si="6">N19+N20</f>
        <v>3000</v>
      </c>
      <c r="O18" s="24">
        <f t="shared" si="6"/>
        <v>3000</v>
      </c>
      <c r="P18" s="24">
        <f t="shared" ref="P18:AA18" si="7">P19+P20</f>
        <v>3000</v>
      </c>
      <c r="Q18" s="24">
        <f t="shared" si="7"/>
        <v>3000</v>
      </c>
      <c r="R18" s="24">
        <f t="shared" si="7"/>
        <v>3000</v>
      </c>
      <c r="S18" s="24">
        <f t="shared" si="7"/>
        <v>3000</v>
      </c>
      <c r="T18" s="24">
        <f t="shared" si="7"/>
        <v>3000</v>
      </c>
      <c r="U18" s="24">
        <f t="shared" si="7"/>
        <v>3000</v>
      </c>
      <c r="V18" s="24">
        <f t="shared" si="7"/>
        <v>3000</v>
      </c>
      <c r="W18" s="24">
        <f t="shared" si="7"/>
        <v>3000</v>
      </c>
      <c r="X18" s="24">
        <f t="shared" si="7"/>
        <v>3000</v>
      </c>
      <c r="Y18" s="24">
        <f t="shared" si="7"/>
        <v>3000</v>
      </c>
      <c r="Z18" s="24">
        <f t="shared" si="7"/>
        <v>3000</v>
      </c>
      <c r="AA18" s="24">
        <f t="shared" si="7"/>
        <v>3000</v>
      </c>
    </row>
    <row r="19" spans="1:27" ht="12.75">
      <c r="A19" s="25"/>
      <c r="B19" s="26" t="s">
        <v>10</v>
      </c>
      <c r="C19" s="25"/>
      <c r="D19" s="27">
        <v>2000</v>
      </c>
      <c r="E19" s="27">
        <v>2000</v>
      </c>
      <c r="F19" s="27">
        <v>2000</v>
      </c>
      <c r="G19" s="27">
        <v>2000</v>
      </c>
      <c r="H19" s="27">
        <v>2000</v>
      </c>
      <c r="I19" s="27">
        <v>2000</v>
      </c>
      <c r="J19" s="27">
        <v>2000</v>
      </c>
      <c r="K19" s="27">
        <v>2000</v>
      </c>
      <c r="L19" s="27">
        <v>2000</v>
      </c>
      <c r="M19" s="27">
        <v>2500</v>
      </c>
      <c r="N19" s="27">
        <v>2500</v>
      </c>
      <c r="O19" s="27">
        <v>2500</v>
      </c>
      <c r="P19" s="27">
        <v>2500</v>
      </c>
      <c r="Q19" s="27">
        <v>2500</v>
      </c>
      <c r="R19" s="27">
        <v>2500</v>
      </c>
      <c r="S19" s="27">
        <v>2500</v>
      </c>
      <c r="T19" s="27">
        <v>2500</v>
      </c>
      <c r="U19" s="27">
        <v>2500</v>
      </c>
      <c r="V19" s="27">
        <v>2500</v>
      </c>
      <c r="W19" s="27">
        <v>2500</v>
      </c>
      <c r="X19" s="27">
        <v>2500</v>
      </c>
      <c r="Y19" s="27">
        <v>2500</v>
      </c>
      <c r="Z19" s="27">
        <v>2500</v>
      </c>
      <c r="AA19" s="27">
        <v>2500</v>
      </c>
    </row>
    <row r="20" spans="1:27" ht="12.75">
      <c r="A20" s="25"/>
      <c r="B20" s="26" t="s">
        <v>11</v>
      </c>
      <c r="C20" s="25"/>
      <c r="D20" s="27">
        <v>300</v>
      </c>
      <c r="E20" s="27">
        <v>300</v>
      </c>
      <c r="F20" s="27">
        <v>300</v>
      </c>
      <c r="G20" s="27">
        <v>300</v>
      </c>
      <c r="H20" s="27">
        <v>300</v>
      </c>
      <c r="I20" s="27">
        <v>300</v>
      </c>
      <c r="J20" s="27">
        <v>300</v>
      </c>
      <c r="K20" s="27">
        <v>300</v>
      </c>
      <c r="L20" s="27">
        <v>300</v>
      </c>
      <c r="M20" s="27">
        <v>500</v>
      </c>
      <c r="N20" s="27">
        <v>500</v>
      </c>
      <c r="O20" s="27">
        <v>500</v>
      </c>
      <c r="P20" s="27">
        <v>500</v>
      </c>
      <c r="Q20" s="27">
        <v>500</v>
      </c>
      <c r="R20" s="27">
        <v>500</v>
      </c>
      <c r="S20" s="27">
        <v>500</v>
      </c>
      <c r="T20" s="27">
        <v>500</v>
      </c>
      <c r="U20" s="27">
        <v>500</v>
      </c>
      <c r="V20" s="27">
        <v>500</v>
      </c>
      <c r="W20" s="27">
        <v>500</v>
      </c>
      <c r="X20" s="27">
        <v>500</v>
      </c>
      <c r="Y20" s="27">
        <v>500</v>
      </c>
      <c r="Z20" s="27">
        <v>500</v>
      </c>
      <c r="AA20" s="27">
        <v>500</v>
      </c>
    </row>
    <row r="21" spans="1:27" ht="9" customHeight="1">
      <c r="A21" s="20"/>
      <c r="B21" s="21"/>
      <c r="C21" s="20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2.75">
      <c r="A22" s="18"/>
      <c r="B22" s="16" t="s">
        <v>12</v>
      </c>
      <c r="C22" s="18"/>
      <c r="D22" s="24">
        <f>D7-D9-D11-D15-D18</f>
        <v>-3120</v>
      </c>
      <c r="E22" s="24">
        <f t="shared" ref="E22:O22" si="8">E7-E9-E11-E15-E18</f>
        <v>-3920</v>
      </c>
      <c r="F22" s="24">
        <f t="shared" si="8"/>
        <v>-3920</v>
      </c>
      <c r="G22" s="24">
        <f t="shared" si="8"/>
        <v>-2945</v>
      </c>
      <c r="H22" s="24">
        <f t="shared" si="8"/>
        <v>-3795</v>
      </c>
      <c r="I22" s="24">
        <f t="shared" si="8"/>
        <v>-3020</v>
      </c>
      <c r="J22" s="24">
        <f t="shared" si="8"/>
        <v>-3020</v>
      </c>
      <c r="K22" s="24">
        <f t="shared" si="8"/>
        <v>-3120</v>
      </c>
      <c r="L22" s="24">
        <f t="shared" si="8"/>
        <v>-3320</v>
      </c>
      <c r="M22" s="24">
        <f t="shared" si="8"/>
        <v>-4095</v>
      </c>
      <c r="N22" s="24">
        <f t="shared" si="8"/>
        <v>-4095</v>
      </c>
      <c r="O22" s="24">
        <f t="shared" si="8"/>
        <v>-4095</v>
      </c>
      <c r="P22" s="24">
        <f t="shared" ref="P22:AA22" si="9">P7-P9-P11-P15-P18</f>
        <v>-4096</v>
      </c>
      <c r="Q22" s="24">
        <f t="shared" si="9"/>
        <v>-4097</v>
      </c>
      <c r="R22" s="24">
        <f t="shared" si="9"/>
        <v>-4098</v>
      </c>
      <c r="S22" s="24">
        <f t="shared" si="9"/>
        <v>-4099</v>
      </c>
      <c r="T22" s="24">
        <f t="shared" si="9"/>
        <v>-4100</v>
      </c>
      <c r="U22" s="24">
        <f t="shared" si="9"/>
        <v>-4101</v>
      </c>
      <c r="V22" s="24">
        <f t="shared" si="9"/>
        <v>-4102</v>
      </c>
      <c r="W22" s="24">
        <f t="shared" si="9"/>
        <v>-4103</v>
      </c>
      <c r="X22" s="24">
        <f t="shared" si="9"/>
        <v>-4104</v>
      </c>
      <c r="Y22" s="24">
        <f t="shared" si="9"/>
        <v>-4105</v>
      </c>
      <c r="Z22" s="24">
        <f t="shared" si="9"/>
        <v>-4106</v>
      </c>
      <c r="AA22" s="24">
        <f t="shared" si="9"/>
        <v>-4107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F718-7E15-4A35-8EF4-CEC5530FAE64}">
  <dimension ref="A1:AH43"/>
  <sheetViews>
    <sheetView showGridLines="0" tabSelected="1" workbookViewId="0">
      <selection activeCell="E3" sqref="E3"/>
    </sheetView>
  </sheetViews>
  <sheetFormatPr defaultColWidth="11.42578125" defaultRowHeight="14.25"/>
  <cols>
    <col min="1" max="2" width="3.7109375" style="69" customWidth="1"/>
    <col min="3" max="3" width="35.85546875" style="79" customWidth="1"/>
    <col min="4" max="4" width="14.5703125" style="79" bestFit="1" customWidth="1"/>
    <col min="5" max="27" width="12.28515625" style="79" bestFit="1" customWidth="1"/>
    <col min="28" max="29" width="11.42578125" style="79"/>
    <col min="30" max="30" width="5.7109375" style="95" customWidth="1"/>
    <col min="31" max="16384" width="11.42578125" style="94"/>
  </cols>
  <sheetData>
    <row r="1" spans="1:34" s="112" customFormat="1" ht="27" thickBot="1">
      <c r="A1" s="110" t="s">
        <v>13</v>
      </c>
      <c r="B1" s="110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96" t="s">
        <v>14</v>
      </c>
    </row>
    <row r="2" spans="1:34" s="109" customFormat="1" ht="15"/>
    <row r="3" spans="1:34">
      <c r="A3" s="106"/>
      <c r="B3" s="106"/>
      <c r="C3" s="107" t="s">
        <v>15</v>
      </c>
      <c r="D3" s="108">
        <v>1</v>
      </c>
      <c r="E3" s="108">
        <f>+D3+1</f>
        <v>2</v>
      </c>
      <c r="F3" s="108">
        <f t="shared" ref="F3:AA3" si="0">+E3+1</f>
        <v>3</v>
      </c>
      <c r="G3" s="108">
        <f t="shared" si="0"/>
        <v>4</v>
      </c>
      <c r="H3" s="108">
        <f t="shared" si="0"/>
        <v>5</v>
      </c>
      <c r="I3" s="108">
        <f t="shared" si="0"/>
        <v>6</v>
      </c>
      <c r="J3" s="108">
        <f t="shared" si="0"/>
        <v>7</v>
      </c>
      <c r="K3" s="108">
        <f t="shared" si="0"/>
        <v>8</v>
      </c>
      <c r="L3" s="108">
        <f t="shared" si="0"/>
        <v>9</v>
      </c>
      <c r="M3" s="108">
        <f t="shared" si="0"/>
        <v>10</v>
      </c>
      <c r="N3" s="108">
        <f t="shared" si="0"/>
        <v>11</v>
      </c>
      <c r="O3" s="108">
        <f t="shared" si="0"/>
        <v>12</v>
      </c>
      <c r="P3" s="108">
        <f t="shared" si="0"/>
        <v>13</v>
      </c>
      <c r="Q3" s="108">
        <f t="shared" si="0"/>
        <v>14</v>
      </c>
      <c r="R3" s="108">
        <f t="shared" si="0"/>
        <v>15</v>
      </c>
      <c r="S3" s="108">
        <f t="shared" si="0"/>
        <v>16</v>
      </c>
      <c r="T3" s="108">
        <f t="shared" si="0"/>
        <v>17</v>
      </c>
      <c r="U3" s="108">
        <f t="shared" si="0"/>
        <v>18</v>
      </c>
      <c r="V3" s="108">
        <f t="shared" si="0"/>
        <v>19</v>
      </c>
      <c r="W3" s="108">
        <f t="shared" si="0"/>
        <v>20</v>
      </c>
      <c r="X3" s="108">
        <f t="shared" si="0"/>
        <v>21</v>
      </c>
      <c r="Y3" s="108">
        <f t="shared" si="0"/>
        <v>22</v>
      </c>
      <c r="Z3" s="108">
        <f t="shared" si="0"/>
        <v>23</v>
      </c>
      <c r="AA3" s="108">
        <f t="shared" si="0"/>
        <v>24</v>
      </c>
      <c r="AB3" s="114"/>
      <c r="AC3" s="114"/>
      <c r="AD3" s="115"/>
      <c r="AE3" s="102"/>
      <c r="AF3" s="102"/>
      <c r="AG3" s="102"/>
      <c r="AH3" s="102"/>
    </row>
    <row r="4" spans="1:34" ht="12.75">
      <c r="A4" s="68"/>
      <c r="B4" s="68"/>
      <c r="C4" s="105" t="s">
        <v>16</v>
      </c>
      <c r="D4" s="104">
        <v>45809</v>
      </c>
      <c r="E4" s="104">
        <v>45839</v>
      </c>
      <c r="F4" s="104">
        <v>45870</v>
      </c>
      <c r="G4" s="104">
        <v>45901</v>
      </c>
      <c r="H4" s="104">
        <v>45931</v>
      </c>
      <c r="I4" s="104">
        <v>45962</v>
      </c>
      <c r="J4" s="104">
        <v>45992</v>
      </c>
      <c r="K4" s="104">
        <v>46023</v>
      </c>
      <c r="L4" s="104">
        <v>46054</v>
      </c>
      <c r="M4" s="104">
        <v>46082</v>
      </c>
      <c r="N4" s="104">
        <v>46113</v>
      </c>
      <c r="O4" s="104">
        <v>46143</v>
      </c>
      <c r="P4" s="104">
        <v>46174</v>
      </c>
      <c r="Q4" s="104">
        <v>46204</v>
      </c>
      <c r="R4" s="104">
        <v>46235</v>
      </c>
      <c r="S4" s="104">
        <v>46266</v>
      </c>
      <c r="T4" s="104">
        <v>46296</v>
      </c>
      <c r="U4" s="104">
        <v>46327</v>
      </c>
      <c r="V4" s="104">
        <v>46357</v>
      </c>
      <c r="W4" s="104">
        <v>46388</v>
      </c>
      <c r="X4" s="104">
        <v>46419</v>
      </c>
      <c r="Y4" s="104">
        <v>46447</v>
      </c>
      <c r="Z4" s="104">
        <v>46478</v>
      </c>
      <c r="AA4" s="104">
        <v>46508</v>
      </c>
      <c r="AB4" s="114"/>
      <c r="AC4" s="114"/>
      <c r="AD4" s="115"/>
      <c r="AE4" s="102"/>
      <c r="AF4" s="102"/>
      <c r="AG4" s="102"/>
      <c r="AH4" s="102"/>
    </row>
    <row r="5" spans="1:34" ht="5.0999999999999996" customHeight="1"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5"/>
      <c r="AE5" s="102"/>
      <c r="AF5" s="102"/>
      <c r="AG5" s="102"/>
      <c r="AH5" s="102"/>
    </row>
    <row r="6" spans="1:34" ht="15.75">
      <c r="B6" s="65" t="s">
        <v>3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5"/>
      <c r="AE6" s="102"/>
      <c r="AF6" s="102"/>
      <c r="AG6" s="102"/>
      <c r="AH6" s="102"/>
    </row>
    <row r="7" spans="1:34" ht="12.75">
      <c r="A7" s="114"/>
      <c r="B7" s="80"/>
      <c r="C7" s="81" t="s">
        <v>17</v>
      </c>
      <c r="D7" s="114" t="s">
        <v>18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5"/>
      <c r="AE7" s="102"/>
      <c r="AF7" s="102"/>
      <c r="AG7" s="102"/>
      <c r="AH7" s="102"/>
    </row>
    <row r="8" spans="1:34" ht="12.75">
      <c r="A8" s="114"/>
      <c r="B8" s="80"/>
      <c r="C8" s="114" t="s">
        <v>19</v>
      </c>
      <c r="D8" s="97">
        <v>2500</v>
      </c>
      <c r="E8" s="116">
        <f>+D8*(1+Input!$C$3)</f>
        <v>2625</v>
      </c>
      <c r="F8" s="116">
        <f>+E8*(1+Input!$C$3)</f>
        <v>2756.25</v>
      </c>
      <c r="G8" s="116">
        <f>+F8*(1+Input!$C$3)</f>
        <v>2894.0625</v>
      </c>
      <c r="H8" s="116">
        <f>+G8*(1+Input!$C$3)</f>
        <v>3038.765625</v>
      </c>
      <c r="I8" s="116">
        <f>+H8*(1+Input!$C$3)</f>
        <v>3190.7039062500003</v>
      </c>
      <c r="J8" s="116">
        <f>+I8*(1+Input!$C$3)</f>
        <v>3350.2391015625003</v>
      </c>
      <c r="K8" s="116">
        <f>+J8*(1+Input!$C$3)</f>
        <v>3517.7510566406254</v>
      </c>
      <c r="L8" s="116">
        <f>+K8*(1+Input!$C$3)</f>
        <v>3693.6386094726568</v>
      </c>
      <c r="M8" s="116">
        <f>+L8*(1+Input!$C$3)</f>
        <v>3878.32053994629</v>
      </c>
      <c r="N8" s="116">
        <f>+M8*(1+Input!$C$3)</f>
        <v>4072.2365669436044</v>
      </c>
      <c r="O8" s="116">
        <f>+N8*(1+Input!$C$3)</f>
        <v>4275.8483952907845</v>
      </c>
      <c r="P8" s="116">
        <f>+O8*(1+Input!$C$3)</f>
        <v>4489.6408150553243</v>
      </c>
      <c r="Q8" s="116">
        <f>+P8*(1+Input!$C$3)</f>
        <v>4714.1228558080911</v>
      </c>
      <c r="R8" s="116">
        <f>+Q8*(1+Input!$C$3)</f>
        <v>4949.8289985984957</v>
      </c>
      <c r="S8" s="116">
        <f>+R8*(1+Input!$C$3)</f>
        <v>5197.3204485284205</v>
      </c>
      <c r="T8" s="116">
        <f>+S8*(1+Input!$C$3)</f>
        <v>5457.1864709548418</v>
      </c>
      <c r="U8" s="116">
        <f>+T8*(1+Input!$C$3)</f>
        <v>5730.0457945025837</v>
      </c>
      <c r="V8" s="116">
        <f>+U8*(1+Input!$C$3)</f>
        <v>6016.5480842277129</v>
      </c>
      <c r="W8" s="116">
        <f>+V8*(1+Input!$C$3)</f>
        <v>6317.3754884390992</v>
      </c>
      <c r="X8" s="116">
        <f>+W8*(1+Input!$C$3)</f>
        <v>6633.2442628610543</v>
      </c>
      <c r="Y8" s="116">
        <f>+X8*(1+Input!$C$3)</f>
        <v>6964.9064760041074</v>
      </c>
      <c r="Z8" s="116">
        <f>+Y8*(1+Input!$C$3)</f>
        <v>7313.1517998043128</v>
      </c>
      <c r="AA8" s="116">
        <f>+Z8*(1+Input!$C$3)</f>
        <v>7678.8093897945291</v>
      </c>
      <c r="AB8" s="114"/>
      <c r="AC8" s="114"/>
      <c r="AD8" s="115"/>
      <c r="AE8" s="102" t="s">
        <v>20</v>
      </c>
      <c r="AF8" s="102"/>
      <c r="AG8" s="102"/>
      <c r="AH8" s="102"/>
    </row>
    <row r="9" spans="1:34" ht="12.75">
      <c r="A9" s="114"/>
      <c r="B9" s="80"/>
      <c r="C9" s="114" t="s">
        <v>21</v>
      </c>
      <c r="D9" s="117">
        <v>0.02</v>
      </c>
      <c r="E9" s="117">
        <v>0.02</v>
      </c>
      <c r="F9" s="117">
        <v>0.02</v>
      </c>
      <c r="G9" s="117">
        <v>0.02</v>
      </c>
      <c r="H9" s="117">
        <v>0.02</v>
      </c>
      <c r="I9" s="117">
        <v>0.02</v>
      </c>
      <c r="J9" s="117">
        <v>0.02</v>
      </c>
      <c r="K9" s="117">
        <v>0.02</v>
      </c>
      <c r="L9" s="117">
        <v>0.02</v>
      </c>
      <c r="M9" s="117">
        <v>0.02</v>
      </c>
      <c r="N9" s="117">
        <v>0.02</v>
      </c>
      <c r="O9" s="117">
        <v>0.02</v>
      </c>
      <c r="P9" s="117">
        <v>0.02</v>
      </c>
      <c r="Q9" s="117">
        <v>0.02</v>
      </c>
      <c r="R9" s="117">
        <v>0.02</v>
      </c>
      <c r="S9" s="117">
        <v>0.02</v>
      </c>
      <c r="T9" s="117">
        <v>0.02</v>
      </c>
      <c r="U9" s="117">
        <v>0.02</v>
      </c>
      <c r="V9" s="117">
        <v>0.02</v>
      </c>
      <c r="W9" s="117">
        <v>0.02</v>
      </c>
      <c r="X9" s="117">
        <v>0.02</v>
      </c>
      <c r="Y9" s="117">
        <v>0.02</v>
      </c>
      <c r="Z9" s="117">
        <v>0.02</v>
      </c>
      <c r="AA9" s="117">
        <v>0.02</v>
      </c>
      <c r="AB9" s="114"/>
      <c r="AC9" s="114"/>
      <c r="AD9" s="115"/>
      <c r="AE9" s="103" t="s">
        <v>22</v>
      </c>
      <c r="AF9" s="102"/>
      <c r="AG9" s="102"/>
      <c r="AH9" s="102"/>
    </row>
    <row r="10" spans="1:34">
      <c r="B10" s="70"/>
      <c r="C10" s="114" t="s">
        <v>23</v>
      </c>
      <c r="D10" s="116">
        <f>+D8*D9</f>
        <v>50</v>
      </c>
      <c r="E10" s="116">
        <f>+E8*E9</f>
        <v>52.5</v>
      </c>
      <c r="F10" s="116">
        <f t="shared" ref="F10:AA10" si="1">+F8*F9</f>
        <v>55.125</v>
      </c>
      <c r="G10" s="116">
        <f t="shared" si="1"/>
        <v>57.881250000000001</v>
      </c>
      <c r="H10" s="116">
        <f t="shared" si="1"/>
        <v>60.775312499999998</v>
      </c>
      <c r="I10" s="116">
        <f t="shared" si="1"/>
        <v>63.814078125000009</v>
      </c>
      <c r="J10" s="116">
        <f t="shared" si="1"/>
        <v>67.004782031250002</v>
      </c>
      <c r="K10" s="116">
        <f t="shared" si="1"/>
        <v>70.35502113281251</v>
      </c>
      <c r="L10" s="116">
        <f t="shared" si="1"/>
        <v>73.87277218945313</v>
      </c>
      <c r="M10" s="116">
        <f t="shared" si="1"/>
        <v>77.566410798925801</v>
      </c>
      <c r="N10" s="116">
        <f t="shared" si="1"/>
        <v>81.444731338872089</v>
      </c>
      <c r="O10" s="116">
        <f t="shared" si="1"/>
        <v>85.51696790581569</v>
      </c>
      <c r="P10" s="116">
        <f t="shared" si="1"/>
        <v>89.792816301106484</v>
      </c>
      <c r="Q10" s="116">
        <f t="shared" si="1"/>
        <v>94.282457116161822</v>
      </c>
      <c r="R10" s="116">
        <f t="shared" si="1"/>
        <v>98.996579971969922</v>
      </c>
      <c r="S10" s="116">
        <f t="shared" si="1"/>
        <v>103.94640897056841</v>
      </c>
      <c r="T10" s="116">
        <f t="shared" si="1"/>
        <v>109.14372941909684</v>
      </c>
      <c r="U10" s="116">
        <f t="shared" si="1"/>
        <v>114.60091589005168</v>
      </c>
      <c r="V10" s="116">
        <f t="shared" si="1"/>
        <v>120.33096168455427</v>
      </c>
      <c r="W10" s="116">
        <f t="shared" si="1"/>
        <v>126.34750976878199</v>
      </c>
      <c r="X10" s="116">
        <f t="shared" si="1"/>
        <v>132.6648852572211</v>
      </c>
      <c r="Y10" s="116">
        <f t="shared" si="1"/>
        <v>139.29812952008214</v>
      </c>
      <c r="Z10" s="116">
        <f t="shared" si="1"/>
        <v>146.26303599608624</v>
      </c>
      <c r="AA10" s="116">
        <f t="shared" si="1"/>
        <v>153.57618779589058</v>
      </c>
      <c r="AB10" s="114"/>
      <c r="AC10" s="114"/>
      <c r="AD10" s="115"/>
      <c r="AE10" s="102"/>
      <c r="AF10" s="102"/>
      <c r="AG10" s="102"/>
      <c r="AH10" s="102"/>
    </row>
    <row r="11" spans="1:34">
      <c r="B11" s="70"/>
      <c r="C11" s="114" t="s">
        <v>24</v>
      </c>
      <c r="D11" s="118">
        <f>$AH$11*$AH$12</f>
        <v>48</v>
      </c>
      <c r="E11" s="118">
        <f t="shared" ref="E11:AA11" si="2">$AH$11*$AH$12</f>
        <v>48</v>
      </c>
      <c r="F11" s="118">
        <f t="shared" si="2"/>
        <v>48</v>
      </c>
      <c r="G11" s="118">
        <f t="shared" si="2"/>
        <v>48</v>
      </c>
      <c r="H11" s="118">
        <f t="shared" si="2"/>
        <v>48</v>
      </c>
      <c r="I11" s="118">
        <f t="shared" si="2"/>
        <v>48</v>
      </c>
      <c r="J11" s="118">
        <f t="shared" si="2"/>
        <v>48</v>
      </c>
      <c r="K11" s="118">
        <f t="shared" si="2"/>
        <v>48</v>
      </c>
      <c r="L11" s="118">
        <f t="shared" si="2"/>
        <v>48</v>
      </c>
      <c r="M11" s="118">
        <f t="shared" si="2"/>
        <v>48</v>
      </c>
      <c r="N11" s="118">
        <f t="shared" si="2"/>
        <v>48</v>
      </c>
      <c r="O11" s="118">
        <f t="shared" si="2"/>
        <v>48</v>
      </c>
      <c r="P11" s="118">
        <f t="shared" si="2"/>
        <v>48</v>
      </c>
      <c r="Q11" s="118">
        <f t="shared" si="2"/>
        <v>48</v>
      </c>
      <c r="R11" s="118">
        <f t="shared" si="2"/>
        <v>48</v>
      </c>
      <c r="S11" s="118">
        <f t="shared" si="2"/>
        <v>48</v>
      </c>
      <c r="T11" s="118">
        <f t="shared" si="2"/>
        <v>48</v>
      </c>
      <c r="U11" s="118">
        <f t="shared" si="2"/>
        <v>48</v>
      </c>
      <c r="V11" s="118">
        <f t="shared" si="2"/>
        <v>48</v>
      </c>
      <c r="W11" s="118">
        <f t="shared" si="2"/>
        <v>48</v>
      </c>
      <c r="X11" s="118">
        <f t="shared" si="2"/>
        <v>48</v>
      </c>
      <c r="Y11" s="118">
        <f t="shared" si="2"/>
        <v>48</v>
      </c>
      <c r="Z11" s="118">
        <f t="shared" si="2"/>
        <v>48</v>
      </c>
      <c r="AA11" s="118">
        <f t="shared" si="2"/>
        <v>48</v>
      </c>
      <c r="AB11" s="114"/>
      <c r="AC11" s="114"/>
      <c r="AD11" s="115"/>
      <c r="AE11" s="102" t="s">
        <v>25</v>
      </c>
      <c r="AF11" s="102"/>
      <c r="AG11" s="102"/>
      <c r="AH11" s="37">
        <v>1600</v>
      </c>
    </row>
    <row r="12" spans="1:34">
      <c r="B12" s="70"/>
      <c r="C12" s="67" t="s">
        <v>26</v>
      </c>
      <c r="D12" s="66">
        <f>+D10*D11</f>
        <v>2400</v>
      </c>
      <c r="E12" s="66">
        <f t="shared" ref="E12:AA12" si="3">+E10*E11</f>
        <v>2520</v>
      </c>
      <c r="F12" s="66">
        <f t="shared" si="3"/>
        <v>2646</v>
      </c>
      <c r="G12" s="66">
        <f t="shared" si="3"/>
        <v>2778.3</v>
      </c>
      <c r="H12" s="66">
        <f t="shared" si="3"/>
        <v>2917.2150000000001</v>
      </c>
      <c r="I12" s="66">
        <f t="shared" si="3"/>
        <v>3063.0757500000004</v>
      </c>
      <c r="J12" s="66">
        <f t="shared" si="3"/>
        <v>3216.2295375000003</v>
      </c>
      <c r="K12" s="66">
        <f t="shared" si="3"/>
        <v>3377.0410143750005</v>
      </c>
      <c r="L12" s="66">
        <f t="shared" si="3"/>
        <v>3545.89306509375</v>
      </c>
      <c r="M12" s="66">
        <f t="shared" si="3"/>
        <v>3723.1877183484385</v>
      </c>
      <c r="N12" s="66">
        <f t="shared" si="3"/>
        <v>3909.3471042658603</v>
      </c>
      <c r="O12" s="66">
        <f t="shared" si="3"/>
        <v>4104.8144594791529</v>
      </c>
      <c r="P12" s="66">
        <f t="shared" si="3"/>
        <v>4310.0551824531112</v>
      </c>
      <c r="Q12" s="66">
        <f t="shared" si="3"/>
        <v>4525.5579415757675</v>
      </c>
      <c r="R12" s="66">
        <f t="shared" si="3"/>
        <v>4751.835838654556</v>
      </c>
      <c r="S12" s="66">
        <f t="shared" si="3"/>
        <v>4989.4276305872836</v>
      </c>
      <c r="T12" s="66">
        <f t="shared" si="3"/>
        <v>5238.899012116648</v>
      </c>
      <c r="U12" s="66">
        <f t="shared" si="3"/>
        <v>5500.8439627224807</v>
      </c>
      <c r="V12" s="66">
        <f t="shared" si="3"/>
        <v>5775.8861608586049</v>
      </c>
      <c r="W12" s="66">
        <f t="shared" si="3"/>
        <v>6064.6804689015353</v>
      </c>
      <c r="X12" s="66">
        <f t="shared" si="3"/>
        <v>6367.9144923466129</v>
      </c>
      <c r="Y12" s="66">
        <f t="shared" si="3"/>
        <v>6686.3102169639424</v>
      </c>
      <c r="Z12" s="66">
        <f t="shared" si="3"/>
        <v>7020.6257278121393</v>
      </c>
      <c r="AA12" s="66">
        <f t="shared" si="3"/>
        <v>7371.6570142027476</v>
      </c>
      <c r="AB12" s="114"/>
      <c r="AC12" s="114"/>
      <c r="AD12" s="115"/>
      <c r="AE12" s="102" t="s">
        <v>27</v>
      </c>
      <c r="AF12" s="102"/>
      <c r="AG12" s="102"/>
      <c r="AH12" s="98">
        <v>0.03</v>
      </c>
    </row>
    <row r="13" spans="1:34">
      <c r="B13" s="70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5"/>
      <c r="AE13" s="102"/>
      <c r="AF13" s="102"/>
      <c r="AG13" s="102"/>
      <c r="AH13" s="102"/>
    </row>
    <row r="14" spans="1:34" ht="15.75">
      <c r="B14" s="65" t="s">
        <v>28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5"/>
      <c r="AE14" s="102"/>
      <c r="AF14" s="102"/>
      <c r="AG14" s="102"/>
      <c r="AH14" s="102"/>
    </row>
    <row r="15" spans="1:34">
      <c r="B15" s="70"/>
      <c r="C15" s="83" t="s">
        <v>5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5"/>
      <c r="AE15" s="102"/>
      <c r="AF15" s="102"/>
      <c r="AG15" s="102"/>
      <c r="AH15" s="102"/>
    </row>
    <row r="16" spans="1:34">
      <c r="B16" s="70"/>
      <c r="C16" s="114" t="s">
        <v>29</v>
      </c>
      <c r="D16" s="118">
        <v>500</v>
      </c>
      <c r="E16" s="118">
        <f>+PnL!D16*(1+Input!$C$4)</f>
        <v>525</v>
      </c>
      <c r="F16" s="118">
        <f>+PnL!E16*(1+Input!$C$4)</f>
        <v>551.25</v>
      </c>
      <c r="G16" s="118">
        <f>+PnL!F16*(1+Input!$C$4)</f>
        <v>578.8125</v>
      </c>
      <c r="H16" s="118">
        <f>+PnL!G16*(1+Input!$C$4)</f>
        <v>607.75312500000007</v>
      </c>
      <c r="I16" s="118">
        <f>+PnL!H16*(1+Input!$C$4)</f>
        <v>638.14078125000015</v>
      </c>
      <c r="J16" s="118">
        <f>+PnL!I16*(1+Input!$C$4)</f>
        <v>670.04782031250022</v>
      </c>
      <c r="K16" s="118">
        <f>+PnL!J16*(1+Input!$C$4)</f>
        <v>703.55021132812522</v>
      </c>
      <c r="L16" s="118">
        <f>+PnL!K16*(1+Input!$C$4)</f>
        <v>738.72772189453156</v>
      </c>
      <c r="M16" s="118">
        <f>+PnL!L16*(1+Input!$C$4)</f>
        <v>775.66410798925813</v>
      </c>
      <c r="N16" s="118">
        <f>+PnL!M16*(1+Input!$C$4)</f>
        <v>814.44731338872111</v>
      </c>
      <c r="O16" s="118">
        <f>+PnL!N16*(1+Input!$C$4)</f>
        <v>855.16967905815716</v>
      </c>
      <c r="P16" s="118">
        <f>+PnL!O16*(1+Input!$C$4)</f>
        <v>897.92816301106507</v>
      </c>
      <c r="Q16" s="118">
        <f>+PnL!P16*(1+Input!$C$4)</f>
        <v>942.82457116161834</v>
      </c>
      <c r="R16" s="118">
        <f>+PnL!Q16*(1+Input!$C$4)</f>
        <v>989.96579971969925</v>
      </c>
      <c r="S16" s="118">
        <f>+PnL!R16*(1+Input!$C$4)</f>
        <v>1039.4640897056843</v>
      </c>
      <c r="T16" s="118">
        <f>+PnL!S16*(1+Input!$C$4)</f>
        <v>1091.4372941909685</v>
      </c>
      <c r="U16" s="118">
        <f>+PnL!T16*(1+Input!$C$4)</f>
        <v>1146.0091589005169</v>
      </c>
      <c r="V16" s="118">
        <f>+PnL!U16*(1+Input!$C$4)</f>
        <v>1203.3096168455429</v>
      </c>
      <c r="W16" s="118">
        <f>+PnL!V16*(1+Input!$C$4)</f>
        <v>1263.4750976878202</v>
      </c>
      <c r="X16" s="118">
        <f>+PnL!W16*(1+Input!$C$4)</f>
        <v>1326.6488525722111</v>
      </c>
      <c r="Y16" s="118">
        <f>+PnL!X16*(1+Input!$C$4)</f>
        <v>1392.9812952008217</v>
      </c>
      <c r="Z16" s="118">
        <f>+PnL!Y16*(1+Input!$C$4)</f>
        <v>1462.630359960863</v>
      </c>
      <c r="AA16" s="118">
        <f>+PnL!Z16*(1+Input!$C$4)</f>
        <v>1535.7618779589061</v>
      </c>
      <c r="AB16" s="114"/>
      <c r="AC16" s="114"/>
      <c r="AD16" s="115"/>
      <c r="AE16" s="102" t="s">
        <v>30</v>
      </c>
      <c r="AF16" s="102"/>
      <c r="AG16" s="102"/>
      <c r="AH16" s="102"/>
    </row>
    <row r="17" spans="2:31">
      <c r="B17" s="70"/>
      <c r="C17" s="114" t="s">
        <v>31</v>
      </c>
      <c r="D17" s="118">
        <v>250</v>
      </c>
      <c r="E17" s="118">
        <v>250</v>
      </c>
      <c r="F17" s="118">
        <v>250</v>
      </c>
      <c r="G17" s="118">
        <v>250</v>
      </c>
      <c r="H17" s="118">
        <v>250</v>
      </c>
      <c r="I17" s="118">
        <v>250</v>
      </c>
      <c r="J17" s="118">
        <v>250</v>
      </c>
      <c r="K17" s="118">
        <v>250</v>
      </c>
      <c r="L17" s="118">
        <v>250</v>
      </c>
      <c r="M17" s="118">
        <v>250</v>
      </c>
      <c r="N17" s="118">
        <v>250</v>
      </c>
      <c r="O17" s="118">
        <v>250</v>
      </c>
      <c r="P17" s="118">
        <v>250</v>
      </c>
      <c r="Q17" s="118">
        <v>250</v>
      </c>
      <c r="R17" s="118">
        <v>250</v>
      </c>
      <c r="S17" s="118">
        <v>250</v>
      </c>
      <c r="T17" s="118">
        <v>250</v>
      </c>
      <c r="U17" s="118">
        <v>250</v>
      </c>
      <c r="V17" s="118">
        <v>250</v>
      </c>
      <c r="W17" s="118">
        <v>250</v>
      </c>
      <c r="X17" s="118">
        <v>250</v>
      </c>
      <c r="Y17" s="118">
        <v>250</v>
      </c>
      <c r="Z17" s="118">
        <v>250</v>
      </c>
      <c r="AA17" s="118">
        <v>250</v>
      </c>
      <c r="AB17" s="114"/>
      <c r="AC17" s="114"/>
      <c r="AD17" s="115"/>
      <c r="AE17" s="102" t="s">
        <v>32</v>
      </c>
    </row>
    <row r="18" spans="2:31">
      <c r="B18" s="70"/>
      <c r="C18" s="92" t="s">
        <v>33</v>
      </c>
      <c r="D18" s="93">
        <f>+D16+D17</f>
        <v>750</v>
      </c>
      <c r="E18" s="93">
        <f t="shared" ref="E18:AA18" si="4">+E16+E17</f>
        <v>775</v>
      </c>
      <c r="F18" s="93">
        <f t="shared" si="4"/>
        <v>801.25</v>
      </c>
      <c r="G18" s="93">
        <f t="shared" si="4"/>
        <v>828.8125</v>
      </c>
      <c r="H18" s="93">
        <f t="shared" si="4"/>
        <v>857.75312500000007</v>
      </c>
      <c r="I18" s="93">
        <f t="shared" si="4"/>
        <v>888.14078125000015</v>
      </c>
      <c r="J18" s="93">
        <f t="shared" si="4"/>
        <v>920.04782031250022</v>
      </c>
      <c r="K18" s="93">
        <f t="shared" si="4"/>
        <v>953.55021132812522</v>
      </c>
      <c r="L18" s="93">
        <f t="shared" si="4"/>
        <v>988.72772189453156</v>
      </c>
      <c r="M18" s="93">
        <f t="shared" si="4"/>
        <v>1025.6641079892581</v>
      </c>
      <c r="N18" s="93">
        <f t="shared" si="4"/>
        <v>1064.4473133887211</v>
      </c>
      <c r="O18" s="93">
        <f t="shared" si="4"/>
        <v>1105.1696790581573</v>
      </c>
      <c r="P18" s="93">
        <f t="shared" si="4"/>
        <v>1147.928163011065</v>
      </c>
      <c r="Q18" s="93">
        <f t="shared" si="4"/>
        <v>1192.8245711616182</v>
      </c>
      <c r="R18" s="93">
        <f t="shared" si="4"/>
        <v>1239.9657997196991</v>
      </c>
      <c r="S18" s="93">
        <f t="shared" si="4"/>
        <v>1289.4640897056843</v>
      </c>
      <c r="T18" s="93">
        <f t="shared" si="4"/>
        <v>1341.4372941909685</v>
      </c>
      <c r="U18" s="93">
        <f t="shared" si="4"/>
        <v>1396.0091589005169</v>
      </c>
      <c r="V18" s="93">
        <f t="shared" si="4"/>
        <v>1453.3096168455429</v>
      </c>
      <c r="W18" s="93">
        <f t="shared" si="4"/>
        <v>1513.4750976878202</v>
      </c>
      <c r="X18" s="93">
        <f t="shared" si="4"/>
        <v>1576.6488525722111</v>
      </c>
      <c r="Y18" s="93">
        <f t="shared" si="4"/>
        <v>1642.9812952008217</v>
      </c>
      <c r="Z18" s="93">
        <f t="shared" si="4"/>
        <v>1712.630359960863</v>
      </c>
      <c r="AA18" s="93">
        <f t="shared" si="4"/>
        <v>1785.7618779589061</v>
      </c>
      <c r="AB18" s="114"/>
      <c r="AC18" s="114"/>
      <c r="AD18" s="115"/>
      <c r="AE18" s="102"/>
    </row>
    <row r="19" spans="2:31">
      <c r="B19" s="70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5"/>
      <c r="AE19" s="102"/>
    </row>
    <row r="20" spans="2:31">
      <c r="B20" s="70"/>
      <c r="C20" s="83" t="s">
        <v>8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5"/>
      <c r="AE20" s="102"/>
    </row>
    <row r="21" spans="2:31">
      <c r="B21" s="70"/>
      <c r="C21" s="83" t="s">
        <v>34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5"/>
      <c r="AE21" s="102" t="s">
        <v>35</v>
      </c>
    </row>
    <row r="22" spans="2:31">
      <c r="B22" s="70"/>
      <c r="C22" s="114" t="s">
        <v>36</v>
      </c>
      <c r="D22" s="116">
        <v>3</v>
      </c>
      <c r="E22" s="116">
        <v>3</v>
      </c>
      <c r="F22" s="116">
        <v>3</v>
      </c>
      <c r="G22" s="116">
        <v>3</v>
      </c>
      <c r="H22" s="116">
        <v>3</v>
      </c>
      <c r="I22" s="116">
        <v>3</v>
      </c>
      <c r="J22" s="116">
        <v>3</v>
      </c>
      <c r="K22" s="116">
        <v>3</v>
      </c>
      <c r="L22" s="116">
        <v>3</v>
      </c>
      <c r="M22" s="116">
        <v>3</v>
      </c>
      <c r="N22" s="116">
        <v>3</v>
      </c>
      <c r="O22" s="116">
        <v>3</v>
      </c>
      <c r="P22" s="116">
        <f>+O22*2</f>
        <v>6</v>
      </c>
      <c r="Q22" s="116">
        <v>6</v>
      </c>
      <c r="R22" s="116">
        <v>6</v>
      </c>
      <c r="S22" s="116">
        <v>6</v>
      </c>
      <c r="T22" s="116">
        <v>6</v>
      </c>
      <c r="U22" s="116">
        <v>6</v>
      </c>
      <c r="V22" s="116">
        <v>6</v>
      </c>
      <c r="W22" s="116">
        <v>6</v>
      </c>
      <c r="X22" s="116">
        <v>6</v>
      </c>
      <c r="Y22" s="116">
        <v>6</v>
      </c>
      <c r="Z22" s="116">
        <v>6</v>
      </c>
      <c r="AA22" s="116">
        <v>6</v>
      </c>
      <c r="AB22" s="114"/>
      <c r="AC22" s="114"/>
      <c r="AD22" s="115"/>
      <c r="AE22" s="102" t="s">
        <v>37</v>
      </c>
    </row>
    <row r="23" spans="2:31">
      <c r="B23" s="70"/>
      <c r="C23" s="114" t="s">
        <v>38</v>
      </c>
      <c r="D23" s="116">
        <v>0.01</v>
      </c>
      <c r="E23" s="116">
        <v>0.01</v>
      </c>
      <c r="F23" s="116">
        <v>0.01</v>
      </c>
      <c r="G23" s="116">
        <v>0.01</v>
      </c>
      <c r="H23" s="116">
        <v>0.01</v>
      </c>
      <c r="I23" s="116">
        <v>0.01</v>
      </c>
      <c r="J23" s="116">
        <v>0.01</v>
      </c>
      <c r="K23" s="116">
        <v>0.01</v>
      </c>
      <c r="L23" s="116">
        <v>0.01</v>
      </c>
      <c r="M23" s="116">
        <v>0.01</v>
      </c>
      <c r="N23" s="116">
        <v>0.01</v>
      </c>
      <c r="O23" s="116">
        <v>0.01</v>
      </c>
      <c r="P23" s="116">
        <v>0.01</v>
      </c>
      <c r="Q23" s="116">
        <v>0.01</v>
      </c>
      <c r="R23" s="116">
        <v>0.01</v>
      </c>
      <c r="S23" s="116">
        <v>0.01</v>
      </c>
      <c r="T23" s="116">
        <v>0.01</v>
      </c>
      <c r="U23" s="116">
        <v>0.01</v>
      </c>
      <c r="V23" s="116">
        <v>0.01</v>
      </c>
      <c r="W23" s="116">
        <v>0.01</v>
      </c>
      <c r="X23" s="116">
        <v>0.01</v>
      </c>
      <c r="Y23" s="116">
        <v>0.01</v>
      </c>
      <c r="Z23" s="116">
        <v>0.01</v>
      </c>
      <c r="AA23" s="116">
        <v>0.01</v>
      </c>
      <c r="AB23" s="114"/>
      <c r="AC23" s="114"/>
      <c r="AD23" s="115"/>
      <c r="AE23" s="102"/>
    </row>
    <row r="24" spans="2:31">
      <c r="B24" s="70"/>
      <c r="C24" s="77" t="s">
        <v>39</v>
      </c>
      <c r="D24" s="78">
        <f>+D22*D23*D8</f>
        <v>75</v>
      </c>
      <c r="E24" s="78">
        <f t="shared" ref="E24:AA24" si="5">+E22*E23*E8</f>
        <v>78.75</v>
      </c>
      <c r="F24" s="78">
        <f t="shared" si="5"/>
        <v>82.6875</v>
      </c>
      <c r="G24" s="78">
        <f t="shared" si="5"/>
        <v>86.821874999999991</v>
      </c>
      <c r="H24" s="78">
        <f t="shared" si="5"/>
        <v>91.16296874999999</v>
      </c>
      <c r="I24" s="78">
        <f t="shared" si="5"/>
        <v>95.721117187499999</v>
      </c>
      <c r="J24" s="78">
        <f t="shared" si="5"/>
        <v>100.50717304687501</v>
      </c>
      <c r="K24" s="78">
        <f t="shared" si="5"/>
        <v>105.53253169921875</v>
      </c>
      <c r="L24" s="78">
        <f t="shared" si="5"/>
        <v>110.8091582841797</v>
      </c>
      <c r="M24" s="78">
        <f t="shared" si="5"/>
        <v>116.34961619838869</v>
      </c>
      <c r="N24" s="78">
        <f t="shared" si="5"/>
        <v>122.16709700830813</v>
      </c>
      <c r="O24" s="78">
        <f t="shared" si="5"/>
        <v>128.27545185872353</v>
      </c>
      <c r="P24" s="78">
        <f t="shared" si="5"/>
        <v>269.37844890331945</v>
      </c>
      <c r="Q24" s="78">
        <f t="shared" si="5"/>
        <v>282.84737134848547</v>
      </c>
      <c r="R24" s="78">
        <f t="shared" si="5"/>
        <v>296.98973991590975</v>
      </c>
      <c r="S24" s="78">
        <f t="shared" si="5"/>
        <v>311.83922691170523</v>
      </c>
      <c r="T24" s="78">
        <f t="shared" si="5"/>
        <v>327.4311882572905</v>
      </c>
      <c r="U24" s="78">
        <f t="shared" si="5"/>
        <v>343.80274767015499</v>
      </c>
      <c r="V24" s="78">
        <f t="shared" si="5"/>
        <v>360.99288505366275</v>
      </c>
      <c r="W24" s="78">
        <f t="shared" si="5"/>
        <v>379.04252930634595</v>
      </c>
      <c r="X24" s="78">
        <f t="shared" si="5"/>
        <v>397.99465577166325</v>
      </c>
      <c r="Y24" s="78">
        <f t="shared" si="5"/>
        <v>417.89438856024645</v>
      </c>
      <c r="Z24" s="78">
        <f t="shared" si="5"/>
        <v>438.78910798825876</v>
      </c>
      <c r="AA24" s="78">
        <f t="shared" si="5"/>
        <v>460.72856338767173</v>
      </c>
      <c r="AB24" s="114"/>
      <c r="AC24" s="114"/>
      <c r="AD24" s="115"/>
      <c r="AE24" s="102"/>
    </row>
    <row r="25" spans="2:31">
      <c r="B25" s="70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5"/>
      <c r="AE25" s="102"/>
    </row>
    <row r="26" spans="2:31">
      <c r="B26" s="70"/>
      <c r="C26" s="84" t="s">
        <v>9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5"/>
      <c r="AE26" s="102"/>
    </row>
    <row r="27" spans="2:31">
      <c r="B27" s="70"/>
      <c r="C27" s="114" t="s">
        <v>40</v>
      </c>
      <c r="D27" s="116">
        <v>4</v>
      </c>
      <c r="E27" s="116">
        <v>4</v>
      </c>
      <c r="F27" s="116">
        <v>4</v>
      </c>
      <c r="G27" s="116">
        <v>4</v>
      </c>
      <c r="H27" s="116">
        <v>4</v>
      </c>
      <c r="I27" s="116">
        <v>4</v>
      </c>
      <c r="J27" s="116">
        <v>4</v>
      </c>
      <c r="K27" s="116">
        <v>4</v>
      </c>
      <c r="L27" s="116">
        <v>4</v>
      </c>
      <c r="M27" s="116">
        <v>4</v>
      </c>
      <c r="N27" s="116">
        <v>4</v>
      </c>
      <c r="O27" s="116">
        <v>4</v>
      </c>
      <c r="P27" s="116">
        <v>4</v>
      </c>
      <c r="Q27" s="116">
        <v>4</v>
      </c>
      <c r="R27" s="116">
        <v>4</v>
      </c>
      <c r="S27" s="116">
        <v>4</v>
      </c>
      <c r="T27" s="116">
        <v>4</v>
      </c>
      <c r="U27" s="116">
        <v>4</v>
      </c>
      <c r="V27" s="116">
        <v>4</v>
      </c>
      <c r="W27" s="116">
        <v>4</v>
      </c>
      <c r="X27" s="116">
        <v>4</v>
      </c>
      <c r="Y27" s="116">
        <v>4</v>
      </c>
      <c r="Z27" s="116">
        <v>4</v>
      </c>
      <c r="AA27" s="116">
        <v>4</v>
      </c>
      <c r="AB27" s="114"/>
      <c r="AC27" s="114"/>
      <c r="AD27" s="115"/>
      <c r="AE27" s="102"/>
    </row>
    <row r="28" spans="2:31">
      <c r="B28" s="70"/>
      <c r="C28" s="114" t="s">
        <v>41</v>
      </c>
      <c r="D28" s="116">
        <v>2500</v>
      </c>
      <c r="E28" s="116">
        <v>2500</v>
      </c>
      <c r="F28" s="116">
        <v>2500</v>
      </c>
      <c r="G28" s="116">
        <v>2500</v>
      </c>
      <c r="H28" s="116">
        <v>2500</v>
      </c>
      <c r="I28" s="116">
        <v>2500</v>
      </c>
      <c r="J28" s="116">
        <v>2500</v>
      </c>
      <c r="K28" s="116">
        <v>2500</v>
      </c>
      <c r="L28" s="116">
        <v>2500</v>
      </c>
      <c r="M28" s="116">
        <v>2500</v>
      </c>
      <c r="N28" s="116">
        <v>2500</v>
      </c>
      <c r="O28" s="116">
        <v>2500</v>
      </c>
      <c r="P28" s="116">
        <v>3000</v>
      </c>
      <c r="Q28" s="116">
        <v>3000</v>
      </c>
      <c r="R28" s="116">
        <v>3000</v>
      </c>
      <c r="S28" s="116">
        <v>3000</v>
      </c>
      <c r="T28" s="116">
        <v>3000</v>
      </c>
      <c r="U28" s="116">
        <v>3000</v>
      </c>
      <c r="V28" s="116">
        <v>3000</v>
      </c>
      <c r="W28" s="116">
        <v>3000</v>
      </c>
      <c r="X28" s="116">
        <v>3000</v>
      </c>
      <c r="Y28" s="116">
        <v>3000</v>
      </c>
      <c r="Z28" s="116">
        <v>3000</v>
      </c>
      <c r="AA28" s="116">
        <v>3000</v>
      </c>
      <c r="AB28" s="114"/>
      <c r="AC28" s="114"/>
      <c r="AD28" s="115"/>
      <c r="AE28" s="102"/>
    </row>
    <row r="29" spans="2:31">
      <c r="B29" s="70"/>
      <c r="C29" s="114" t="s">
        <v>42</v>
      </c>
      <c r="D29" s="119">
        <f>+D28*1.27</f>
        <v>3175</v>
      </c>
      <c r="E29" s="119">
        <f t="shared" ref="E29:AA29" si="6">+E28*1.27</f>
        <v>3175</v>
      </c>
      <c r="F29" s="119">
        <f t="shared" si="6"/>
        <v>3175</v>
      </c>
      <c r="G29" s="119">
        <f t="shared" si="6"/>
        <v>3175</v>
      </c>
      <c r="H29" s="119">
        <f t="shared" si="6"/>
        <v>3175</v>
      </c>
      <c r="I29" s="119">
        <f t="shared" si="6"/>
        <v>3175</v>
      </c>
      <c r="J29" s="119">
        <f t="shared" si="6"/>
        <v>3175</v>
      </c>
      <c r="K29" s="119">
        <f t="shared" si="6"/>
        <v>3175</v>
      </c>
      <c r="L29" s="119">
        <f t="shared" si="6"/>
        <v>3175</v>
      </c>
      <c r="M29" s="119">
        <f t="shared" si="6"/>
        <v>3175</v>
      </c>
      <c r="N29" s="119">
        <f t="shared" si="6"/>
        <v>3175</v>
      </c>
      <c r="O29" s="119">
        <f t="shared" si="6"/>
        <v>3175</v>
      </c>
      <c r="P29" s="119">
        <f t="shared" si="6"/>
        <v>3810</v>
      </c>
      <c r="Q29" s="119">
        <f t="shared" si="6"/>
        <v>3810</v>
      </c>
      <c r="R29" s="119">
        <f t="shared" si="6"/>
        <v>3810</v>
      </c>
      <c r="S29" s="119">
        <f t="shared" si="6"/>
        <v>3810</v>
      </c>
      <c r="T29" s="119">
        <f t="shared" si="6"/>
        <v>3810</v>
      </c>
      <c r="U29" s="119">
        <f t="shared" si="6"/>
        <v>3810</v>
      </c>
      <c r="V29" s="119">
        <f t="shared" si="6"/>
        <v>3810</v>
      </c>
      <c r="W29" s="119">
        <f t="shared" si="6"/>
        <v>3810</v>
      </c>
      <c r="X29" s="119">
        <f t="shared" si="6"/>
        <v>3810</v>
      </c>
      <c r="Y29" s="119">
        <f t="shared" si="6"/>
        <v>3810</v>
      </c>
      <c r="Z29" s="119">
        <f t="shared" si="6"/>
        <v>3810</v>
      </c>
      <c r="AA29" s="119">
        <f t="shared" si="6"/>
        <v>3810</v>
      </c>
      <c r="AB29" s="114"/>
      <c r="AC29" s="114"/>
      <c r="AD29" s="115"/>
      <c r="AE29" s="102"/>
    </row>
    <row r="30" spans="2:31">
      <c r="B30" s="70"/>
      <c r="C30" s="71" t="s">
        <v>43</v>
      </c>
      <c r="D30" s="72">
        <f>+D29*D27</f>
        <v>12700</v>
      </c>
      <c r="E30" s="72">
        <f t="shared" ref="E30:AA30" si="7">+E29*E27</f>
        <v>12700</v>
      </c>
      <c r="F30" s="72">
        <f t="shared" si="7"/>
        <v>12700</v>
      </c>
      <c r="G30" s="72">
        <f t="shared" si="7"/>
        <v>12700</v>
      </c>
      <c r="H30" s="72">
        <f t="shared" si="7"/>
        <v>12700</v>
      </c>
      <c r="I30" s="72">
        <f t="shared" si="7"/>
        <v>12700</v>
      </c>
      <c r="J30" s="72">
        <f t="shared" si="7"/>
        <v>12700</v>
      </c>
      <c r="K30" s="72">
        <f t="shared" si="7"/>
        <v>12700</v>
      </c>
      <c r="L30" s="72">
        <f t="shared" si="7"/>
        <v>12700</v>
      </c>
      <c r="M30" s="72">
        <f t="shared" si="7"/>
        <v>12700</v>
      </c>
      <c r="N30" s="72">
        <f t="shared" si="7"/>
        <v>12700</v>
      </c>
      <c r="O30" s="72">
        <f t="shared" si="7"/>
        <v>12700</v>
      </c>
      <c r="P30" s="72">
        <f t="shared" si="7"/>
        <v>15240</v>
      </c>
      <c r="Q30" s="72">
        <f t="shared" si="7"/>
        <v>15240</v>
      </c>
      <c r="R30" s="72">
        <f t="shared" si="7"/>
        <v>15240</v>
      </c>
      <c r="S30" s="72">
        <f t="shared" si="7"/>
        <v>15240</v>
      </c>
      <c r="T30" s="72">
        <f t="shared" si="7"/>
        <v>15240</v>
      </c>
      <c r="U30" s="72">
        <f t="shared" si="7"/>
        <v>15240</v>
      </c>
      <c r="V30" s="72">
        <f t="shared" si="7"/>
        <v>15240</v>
      </c>
      <c r="W30" s="72">
        <f t="shared" si="7"/>
        <v>15240</v>
      </c>
      <c r="X30" s="72">
        <f t="shared" si="7"/>
        <v>15240</v>
      </c>
      <c r="Y30" s="72">
        <f t="shared" si="7"/>
        <v>15240</v>
      </c>
      <c r="Z30" s="72">
        <f t="shared" si="7"/>
        <v>15240</v>
      </c>
      <c r="AA30" s="72">
        <f t="shared" si="7"/>
        <v>15240</v>
      </c>
      <c r="AB30" s="114"/>
      <c r="AC30" s="114"/>
      <c r="AD30" s="115"/>
      <c r="AE30" s="102"/>
    </row>
    <row r="31" spans="2:31" ht="5.0999999999999996" customHeight="1">
      <c r="B31" s="70"/>
      <c r="C31" s="73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114"/>
      <c r="AC31" s="114"/>
      <c r="AD31" s="115"/>
      <c r="AE31" s="102"/>
    </row>
    <row r="32" spans="2:31">
      <c r="B32" s="70"/>
      <c r="C32" s="120" t="s">
        <v>44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114"/>
      <c r="AC32" s="114"/>
      <c r="AD32" s="115"/>
      <c r="AE32" s="102"/>
    </row>
    <row r="33" spans="2:31">
      <c r="B33" s="70"/>
      <c r="C33" s="120" t="s">
        <v>45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  <c r="Z33" s="74">
        <v>0</v>
      </c>
      <c r="AA33" s="74">
        <v>0</v>
      </c>
      <c r="AB33" s="114"/>
      <c r="AC33" s="114"/>
      <c r="AD33" s="115"/>
      <c r="AE33" s="102"/>
    </row>
    <row r="34" spans="2:31">
      <c r="B34" s="70"/>
      <c r="C34" s="121" t="s">
        <v>42</v>
      </c>
      <c r="D34" s="75">
        <f>+D32*1.27</f>
        <v>0</v>
      </c>
      <c r="E34" s="75">
        <f t="shared" ref="E34:AA34" si="8">+E32*1.27</f>
        <v>0</v>
      </c>
      <c r="F34" s="75">
        <f t="shared" si="8"/>
        <v>0</v>
      </c>
      <c r="G34" s="75">
        <f t="shared" si="8"/>
        <v>0</v>
      </c>
      <c r="H34" s="75">
        <f t="shared" si="8"/>
        <v>0</v>
      </c>
      <c r="I34" s="75">
        <f t="shared" si="8"/>
        <v>0</v>
      </c>
      <c r="J34" s="75">
        <f t="shared" si="8"/>
        <v>0</v>
      </c>
      <c r="K34" s="75">
        <f t="shared" si="8"/>
        <v>0</v>
      </c>
      <c r="L34" s="75">
        <f t="shared" si="8"/>
        <v>0</v>
      </c>
      <c r="M34" s="75">
        <f t="shared" si="8"/>
        <v>0</v>
      </c>
      <c r="N34" s="75">
        <f t="shared" si="8"/>
        <v>0</v>
      </c>
      <c r="O34" s="75">
        <f t="shared" si="8"/>
        <v>0</v>
      </c>
      <c r="P34" s="75">
        <f t="shared" si="8"/>
        <v>0</v>
      </c>
      <c r="Q34" s="75">
        <f t="shared" si="8"/>
        <v>0</v>
      </c>
      <c r="R34" s="75">
        <f t="shared" si="8"/>
        <v>0</v>
      </c>
      <c r="S34" s="75">
        <f t="shared" si="8"/>
        <v>0</v>
      </c>
      <c r="T34" s="75">
        <f t="shared" si="8"/>
        <v>0</v>
      </c>
      <c r="U34" s="75">
        <f t="shared" si="8"/>
        <v>0</v>
      </c>
      <c r="V34" s="75">
        <f t="shared" si="8"/>
        <v>0</v>
      </c>
      <c r="W34" s="75">
        <f t="shared" si="8"/>
        <v>0</v>
      </c>
      <c r="X34" s="75">
        <f t="shared" si="8"/>
        <v>0</v>
      </c>
      <c r="Y34" s="75">
        <f t="shared" si="8"/>
        <v>0</v>
      </c>
      <c r="Z34" s="75">
        <f t="shared" si="8"/>
        <v>0</v>
      </c>
      <c r="AA34" s="75">
        <f t="shared" si="8"/>
        <v>0</v>
      </c>
      <c r="AB34" s="114"/>
      <c r="AC34" s="114"/>
      <c r="AD34" s="115"/>
      <c r="AE34" s="102"/>
    </row>
    <row r="35" spans="2:31">
      <c r="B35" s="70"/>
      <c r="C35" s="76" t="s">
        <v>46</v>
      </c>
      <c r="D35" s="72">
        <f>+D34*D32</f>
        <v>0</v>
      </c>
      <c r="E35" s="72">
        <f t="shared" ref="E35" si="9">+E34*E32</f>
        <v>0</v>
      </c>
      <c r="F35" s="72">
        <f t="shared" ref="F35" si="10">+F34*F32</f>
        <v>0</v>
      </c>
      <c r="G35" s="72">
        <f t="shared" ref="G35" si="11">+G34*G32</f>
        <v>0</v>
      </c>
      <c r="H35" s="72">
        <f t="shared" ref="H35" si="12">+H34*H32</f>
        <v>0</v>
      </c>
      <c r="I35" s="72">
        <f t="shared" ref="I35" si="13">+I34*I32</f>
        <v>0</v>
      </c>
      <c r="J35" s="72">
        <f t="shared" ref="J35" si="14">+J34*J32</f>
        <v>0</v>
      </c>
      <c r="K35" s="72">
        <f t="shared" ref="K35" si="15">+K34*K32</f>
        <v>0</v>
      </c>
      <c r="L35" s="72">
        <f t="shared" ref="L35" si="16">+L34*L32</f>
        <v>0</v>
      </c>
      <c r="M35" s="72">
        <f t="shared" ref="M35" si="17">+M34*M32</f>
        <v>0</v>
      </c>
      <c r="N35" s="72">
        <f t="shared" ref="N35" si="18">+N34*N32</f>
        <v>0</v>
      </c>
      <c r="O35" s="72">
        <f t="shared" ref="O35" si="19">+O34*O32</f>
        <v>0</v>
      </c>
      <c r="P35" s="72">
        <f t="shared" ref="P35" si="20">+P34*P32</f>
        <v>0</v>
      </c>
      <c r="Q35" s="72">
        <f t="shared" ref="Q35" si="21">+Q34*Q32</f>
        <v>0</v>
      </c>
      <c r="R35" s="72">
        <f t="shared" ref="R35" si="22">+R34*R32</f>
        <v>0</v>
      </c>
      <c r="S35" s="72">
        <f t="shared" ref="S35" si="23">+S34*S32</f>
        <v>0</v>
      </c>
      <c r="T35" s="72">
        <f t="shared" ref="T35" si="24">+T34*T32</f>
        <v>0</v>
      </c>
      <c r="U35" s="72">
        <f t="shared" ref="U35" si="25">+U34*U32</f>
        <v>0</v>
      </c>
      <c r="V35" s="72">
        <f t="shared" ref="V35" si="26">+V34*V32</f>
        <v>0</v>
      </c>
      <c r="W35" s="72">
        <f t="shared" ref="W35" si="27">+W34*W32</f>
        <v>0</v>
      </c>
      <c r="X35" s="72">
        <f t="shared" ref="X35" si="28">+X34*X32</f>
        <v>0</v>
      </c>
      <c r="Y35" s="72">
        <f t="shared" ref="Y35" si="29">+Y34*Y32</f>
        <v>0</v>
      </c>
      <c r="Z35" s="72">
        <f t="shared" ref="Z35" si="30">+Z34*Z32</f>
        <v>0</v>
      </c>
      <c r="AA35" s="72">
        <f t="shared" ref="AA35" si="31">+AA34*AA32</f>
        <v>0</v>
      </c>
      <c r="AB35" s="114"/>
      <c r="AC35" s="114"/>
      <c r="AD35" s="115"/>
      <c r="AE35" s="102"/>
    </row>
    <row r="36" spans="2:31">
      <c r="B36" s="70"/>
      <c r="C36" s="67" t="s">
        <v>47</v>
      </c>
      <c r="D36" s="66">
        <f>+D30+D35</f>
        <v>12700</v>
      </c>
      <c r="E36" s="66">
        <f t="shared" ref="E36:AA36" si="32">+E30+E35</f>
        <v>12700</v>
      </c>
      <c r="F36" s="66">
        <f t="shared" si="32"/>
        <v>12700</v>
      </c>
      <c r="G36" s="66">
        <f t="shared" si="32"/>
        <v>12700</v>
      </c>
      <c r="H36" s="66">
        <f t="shared" si="32"/>
        <v>12700</v>
      </c>
      <c r="I36" s="66">
        <f t="shared" si="32"/>
        <v>12700</v>
      </c>
      <c r="J36" s="66">
        <f t="shared" si="32"/>
        <v>12700</v>
      </c>
      <c r="K36" s="66">
        <f t="shared" si="32"/>
        <v>12700</v>
      </c>
      <c r="L36" s="66">
        <f t="shared" si="32"/>
        <v>12700</v>
      </c>
      <c r="M36" s="66">
        <f t="shared" si="32"/>
        <v>12700</v>
      </c>
      <c r="N36" s="66">
        <f t="shared" si="32"/>
        <v>12700</v>
      </c>
      <c r="O36" s="66">
        <f t="shared" si="32"/>
        <v>12700</v>
      </c>
      <c r="P36" s="66">
        <f t="shared" si="32"/>
        <v>15240</v>
      </c>
      <c r="Q36" s="66">
        <f t="shared" si="32"/>
        <v>15240</v>
      </c>
      <c r="R36" s="66">
        <f t="shared" si="32"/>
        <v>15240</v>
      </c>
      <c r="S36" s="66">
        <f t="shared" si="32"/>
        <v>15240</v>
      </c>
      <c r="T36" s="66">
        <f t="shared" si="32"/>
        <v>15240</v>
      </c>
      <c r="U36" s="66">
        <f t="shared" si="32"/>
        <v>15240</v>
      </c>
      <c r="V36" s="66">
        <f t="shared" si="32"/>
        <v>15240</v>
      </c>
      <c r="W36" s="66">
        <f t="shared" si="32"/>
        <v>15240</v>
      </c>
      <c r="X36" s="66">
        <f t="shared" si="32"/>
        <v>15240</v>
      </c>
      <c r="Y36" s="66">
        <f t="shared" si="32"/>
        <v>15240</v>
      </c>
      <c r="Z36" s="66">
        <f t="shared" si="32"/>
        <v>15240</v>
      </c>
      <c r="AA36" s="66">
        <f t="shared" si="32"/>
        <v>15240</v>
      </c>
      <c r="AB36" s="114"/>
      <c r="AC36" s="114"/>
      <c r="AD36" s="115"/>
      <c r="AE36" s="102"/>
    </row>
    <row r="37" spans="2:31">
      <c r="B37" s="70"/>
      <c r="C37" s="120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5"/>
      <c r="AE37" s="102"/>
    </row>
    <row r="38" spans="2:31" ht="15.75">
      <c r="B38" s="65" t="s">
        <v>48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5"/>
      <c r="AE38" s="102"/>
    </row>
    <row r="40" spans="2:31">
      <c r="C40" s="100" t="s">
        <v>49</v>
      </c>
      <c r="D40" s="122">
        <f>D12-D18-D36</f>
        <v>-11050</v>
      </c>
      <c r="E40" s="122">
        <f t="shared" ref="E40:AA40" si="33">E12-E18-E36</f>
        <v>-10955</v>
      </c>
      <c r="F40" s="122">
        <f t="shared" si="33"/>
        <v>-10855.25</v>
      </c>
      <c r="G40" s="122">
        <f t="shared" si="33"/>
        <v>-10750.512500000001</v>
      </c>
      <c r="H40" s="122">
        <f t="shared" si="33"/>
        <v>-10640.538124999999</v>
      </c>
      <c r="I40" s="122">
        <f t="shared" si="33"/>
        <v>-10525.06503125</v>
      </c>
      <c r="J40" s="122">
        <f t="shared" si="33"/>
        <v>-10403.818282812499</v>
      </c>
      <c r="K40" s="122">
        <f t="shared" si="33"/>
        <v>-10276.509196953124</v>
      </c>
      <c r="L40" s="122">
        <f t="shared" si="33"/>
        <v>-10142.834656800782</v>
      </c>
      <c r="M40" s="122">
        <f t="shared" si="33"/>
        <v>-10002.476389640819</v>
      </c>
      <c r="N40" s="122">
        <f t="shared" si="33"/>
        <v>-9855.100209122862</v>
      </c>
      <c r="O40" s="122">
        <f t="shared" si="33"/>
        <v>-9700.3552195790035</v>
      </c>
      <c r="P40" s="122">
        <f t="shared" si="33"/>
        <v>-12077.872980557953</v>
      </c>
      <c r="Q40" s="122">
        <f t="shared" si="33"/>
        <v>-11907.266629585851</v>
      </c>
      <c r="R40" s="122">
        <f t="shared" si="33"/>
        <v>-11728.129961065144</v>
      </c>
      <c r="S40" s="122">
        <f t="shared" si="33"/>
        <v>-11540.036459118401</v>
      </c>
      <c r="T40" s="122">
        <f t="shared" si="33"/>
        <v>-11342.538282074322</v>
      </c>
      <c r="U40" s="122">
        <f t="shared" si="33"/>
        <v>-11135.165196178037</v>
      </c>
      <c r="V40" s="122">
        <f t="shared" si="33"/>
        <v>-10917.423455986938</v>
      </c>
      <c r="W40" s="122">
        <f t="shared" si="33"/>
        <v>-10688.794628786285</v>
      </c>
      <c r="X40" s="122">
        <f t="shared" si="33"/>
        <v>-10448.734360225599</v>
      </c>
      <c r="Y40" s="122">
        <f t="shared" si="33"/>
        <v>-10196.671078236879</v>
      </c>
      <c r="Z40" s="122">
        <f t="shared" si="33"/>
        <v>-9932.0046321487243</v>
      </c>
      <c r="AA40" s="122">
        <f t="shared" si="33"/>
        <v>-9654.104863756158</v>
      </c>
      <c r="AB40" s="114"/>
      <c r="AC40" s="114"/>
      <c r="AD40" s="115"/>
      <c r="AE40" s="102"/>
    </row>
    <row r="41" spans="2:31" ht="15" thickBot="1">
      <c r="C41" s="99" t="s">
        <v>12</v>
      </c>
      <c r="D41" s="123">
        <f>+D40</f>
        <v>-11050</v>
      </c>
      <c r="E41" s="123">
        <f t="shared" ref="E41:AA41" si="34">+E40</f>
        <v>-10955</v>
      </c>
      <c r="F41" s="123">
        <f t="shared" si="34"/>
        <v>-10855.25</v>
      </c>
      <c r="G41" s="123">
        <f t="shared" si="34"/>
        <v>-10750.512500000001</v>
      </c>
      <c r="H41" s="123">
        <f t="shared" si="34"/>
        <v>-10640.538124999999</v>
      </c>
      <c r="I41" s="123">
        <f t="shared" si="34"/>
        <v>-10525.06503125</v>
      </c>
      <c r="J41" s="123">
        <f t="shared" si="34"/>
        <v>-10403.818282812499</v>
      </c>
      <c r="K41" s="123">
        <f t="shared" si="34"/>
        <v>-10276.509196953124</v>
      </c>
      <c r="L41" s="123">
        <f t="shared" si="34"/>
        <v>-10142.834656800782</v>
      </c>
      <c r="M41" s="123">
        <f t="shared" si="34"/>
        <v>-10002.476389640819</v>
      </c>
      <c r="N41" s="123">
        <f t="shared" si="34"/>
        <v>-9855.100209122862</v>
      </c>
      <c r="O41" s="123">
        <f t="shared" si="34"/>
        <v>-9700.3552195790035</v>
      </c>
      <c r="P41" s="123">
        <f t="shared" si="34"/>
        <v>-12077.872980557953</v>
      </c>
      <c r="Q41" s="123">
        <f t="shared" si="34"/>
        <v>-11907.266629585851</v>
      </c>
      <c r="R41" s="123">
        <f t="shared" si="34"/>
        <v>-11728.129961065144</v>
      </c>
      <c r="S41" s="123">
        <f t="shared" si="34"/>
        <v>-11540.036459118401</v>
      </c>
      <c r="T41" s="123">
        <f t="shared" si="34"/>
        <v>-11342.538282074322</v>
      </c>
      <c r="U41" s="123">
        <f t="shared" si="34"/>
        <v>-11135.165196178037</v>
      </c>
      <c r="V41" s="123">
        <f t="shared" si="34"/>
        <v>-10917.423455986938</v>
      </c>
      <c r="W41" s="123">
        <f t="shared" si="34"/>
        <v>-10688.794628786285</v>
      </c>
      <c r="X41" s="123">
        <f t="shared" si="34"/>
        <v>-10448.734360225599</v>
      </c>
      <c r="Y41" s="123">
        <f t="shared" si="34"/>
        <v>-10196.671078236879</v>
      </c>
      <c r="Z41" s="123">
        <f t="shared" si="34"/>
        <v>-9932.0046321487243</v>
      </c>
      <c r="AA41" s="123">
        <f t="shared" si="34"/>
        <v>-9654.104863756158</v>
      </c>
      <c r="AB41" s="114"/>
      <c r="AC41" s="114"/>
      <c r="AD41" s="115"/>
      <c r="AE41" s="102"/>
    </row>
    <row r="43" spans="2:31">
      <c r="C43" s="100" t="s">
        <v>50</v>
      </c>
      <c r="D43" s="122">
        <f>IF(D40&gt;50000,D40*0.25,0)</f>
        <v>0</v>
      </c>
      <c r="E43" s="122">
        <f t="shared" ref="E43:AA43" si="35">IF(E40&gt;50000,E40*0.25,0)</f>
        <v>0</v>
      </c>
      <c r="F43" s="122">
        <f t="shared" si="35"/>
        <v>0</v>
      </c>
      <c r="G43" s="122">
        <f t="shared" si="35"/>
        <v>0</v>
      </c>
      <c r="H43" s="122">
        <f t="shared" si="35"/>
        <v>0</v>
      </c>
      <c r="I43" s="122">
        <f t="shared" si="35"/>
        <v>0</v>
      </c>
      <c r="J43" s="122">
        <f t="shared" si="35"/>
        <v>0</v>
      </c>
      <c r="K43" s="122">
        <f t="shared" si="35"/>
        <v>0</v>
      </c>
      <c r="L43" s="122">
        <f t="shared" si="35"/>
        <v>0</v>
      </c>
      <c r="M43" s="122">
        <f t="shared" si="35"/>
        <v>0</v>
      </c>
      <c r="N43" s="122">
        <f t="shared" si="35"/>
        <v>0</v>
      </c>
      <c r="O43" s="122">
        <f t="shared" si="35"/>
        <v>0</v>
      </c>
      <c r="P43" s="122">
        <f t="shared" si="35"/>
        <v>0</v>
      </c>
      <c r="Q43" s="122">
        <f t="shared" si="35"/>
        <v>0</v>
      </c>
      <c r="R43" s="122">
        <f t="shared" si="35"/>
        <v>0</v>
      </c>
      <c r="S43" s="122">
        <f t="shared" si="35"/>
        <v>0</v>
      </c>
      <c r="T43" s="122">
        <f t="shared" si="35"/>
        <v>0</v>
      </c>
      <c r="U43" s="122">
        <f t="shared" si="35"/>
        <v>0</v>
      </c>
      <c r="V43" s="122">
        <f t="shared" si="35"/>
        <v>0</v>
      </c>
      <c r="W43" s="122">
        <f t="shared" si="35"/>
        <v>0</v>
      </c>
      <c r="X43" s="122">
        <f t="shared" si="35"/>
        <v>0</v>
      </c>
      <c r="Y43" s="122">
        <f t="shared" si="35"/>
        <v>0</v>
      </c>
      <c r="Z43" s="122">
        <f t="shared" si="35"/>
        <v>0</v>
      </c>
      <c r="AA43" s="122">
        <f t="shared" si="35"/>
        <v>0</v>
      </c>
      <c r="AB43" s="114"/>
      <c r="AC43" s="114"/>
      <c r="AD43" s="115"/>
      <c r="AE43" s="102" t="s">
        <v>51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11DF-D985-4B8D-8DD6-3F732B0F7FF3}">
  <dimension ref="A1:C4"/>
  <sheetViews>
    <sheetView showGridLines="0" workbookViewId="0">
      <selection activeCell="B39" sqref="B39"/>
    </sheetView>
  </sheetViews>
  <sheetFormatPr defaultColWidth="11.42578125" defaultRowHeight="12.75"/>
  <cols>
    <col min="1" max="1" width="11.42578125" style="79"/>
    <col min="2" max="2" width="20" style="79" bestFit="1" customWidth="1"/>
    <col min="3" max="16384" width="11.42578125" style="79"/>
  </cols>
  <sheetData>
    <row r="1" spans="1:3" s="28" customFormat="1" ht="27" thickBot="1">
      <c r="A1" s="28" t="s">
        <v>52</v>
      </c>
    </row>
    <row r="2" spans="1:3">
      <c r="A2" s="114" t="s">
        <v>53</v>
      </c>
      <c r="B2" s="114"/>
      <c r="C2" s="114"/>
    </row>
    <row r="3" spans="1:3">
      <c r="A3" s="114"/>
      <c r="B3" s="124" t="s">
        <v>54</v>
      </c>
      <c r="C3" s="82">
        <v>0.05</v>
      </c>
    </row>
    <row r="4" spans="1:3">
      <c r="A4" s="114"/>
      <c r="B4" s="124" t="s">
        <v>55</v>
      </c>
      <c r="C4" s="82">
        <v>0.05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B66E-3C2E-474C-9BDF-55190B5D6B54}">
  <sheetPr>
    <outlinePr summaryBelow="0" summaryRight="0"/>
  </sheetPr>
  <dimension ref="A1:U59"/>
  <sheetViews>
    <sheetView showGridLines="0" zoomScale="75" zoomScaleNormal="75" workbookViewId="0">
      <pane ySplit="1" topLeftCell="A2" activePane="bottomLeft" state="frozen"/>
      <selection pane="bottomLeft" activeCell="A20" sqref="A20"/>
    </sheetView>
  </sheetViews>
  <sheetFormatPr defaultColWidth="0" defaultRowHeight="12.75" outlineLevelRow="1"/>
  <cols>
    <col min="1" max="2" width="2.7109375" style="30" customWidth="1"/>
    <col min="3" max="3" width="26.42578125" style="30" customWidth="1"/>
    <col min="4" max="4" width="37.140625" style="30" customWidth="1"/>
    <col min="5" max="5" width="16.5703125" style="30" customWidth="1"/>
    <col min="6" max="6" width="75.7109375" style="30" customWidth="1"/>
    <col min="7" max="19" width="9.140625" style="30" customWidth="1"/>
    <col min="20" max="20" width="2.7109375" style="30" customWidth="1"/>
    <col min="21" max="21" width="0" style="30" hidden="1" customWidth="1"/>
    <col min="22" max="16384" width="9.140625" style="30" hidden="1"/>
  </cols>
  <sheetData>
    <row r="1" spans="1:19" ht="27" thickBot="1">
      <c r="A1" s="28" t="s">
        <v>56</v>
      </c>
      <c r="B1" s="28"/>
      <c r="C1" s="28"/>
      <c r="D1" s="29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3" spans="1:19" s="31" customFormat="1" ht="24" thickBot="1">
      <c r="B3" s="32" t="s">
        <v>57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s="31" customFormat="1">
      <c r="B4" s="33" t="s">
        <v>58</v>
      </c>
    </row>
    <row r="5" spans="1:19" s="31" customFormat="1" ht="18" outlineLevel="1">
      <c r="B5" s="34" t="s">
        <v>59</v>
      </c>
      <c r="C5" s="35"/>
    </row>
    <row r="6" spans="1:19" s="31" customFormat="1" ht="12.75" customHeight="1" outlineLevel="1">
      <c r="B6" s="36" t="s">
        <v>60</v>
      </c>
      <c r="C6" s="113" t="s">
        <v>61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</row>
    <row r="8" spans="1:19" s="31" customFormat="1" ht="24" thickBot="1">
      <c r="B8" s="32" t="s">
        <v>62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s="31" customFormat="1">
      <c r="B9" s="33" t="s">
        <v>63</v>
      </c>
    </row>
    <row r="10" spans="1:19" s="31" customFormat="1" ht="18" outlineLevel="1">
      <c r="B10" s="34" t="s">
        <v>64</v>
      </c>
    </row>
    <row r="11" spans="1:19" s="31" customFormat="1" outlineLevel="1">
      <c r="C11" s="31" t="s">
        <v>65</v>
      </c>
      <c r="D11" s="37">
        <v>100</v>
      </c>
      <c r="F11" s="33" t="s">
        <v>66</v>
      </c>
    </row>
    <row r="12" spans="1:19" outlineLevel="1">
      <c r="C12" s="38" t="s">
        <v>67</v>
      </c>
      <c r="D12" s="39">
        <v>100</v>
      </c>
      <c r="E12" s="38"/>
      <c r="F12" s="40" t="s">
        <v>68</v>
      </c>
    </row>
    <row r="13" spans="1:19" s="31" customFormat="1" outlineLevel="1">
      <c r="C13" s="30" t="s">
        <v>69</v>
      </c>
      <c r="D13" s="41">
        <v>100</v>
      </c>
      <c r="E13" s="30"/>
      <c r="F13" s="33" t="s">
        <v>70</v>
      </c>
    </row>
    <row r="14" spans="1:19" s="31" customFormat="1" outlineLevel="1">
      <c r="C14" s="31" t="s">
        <v>71</v>
      </c>
      <c r="D14" s="42">
        <v>100</v>
      </c>
      <c r="F14" s="33" t="s">
        <v>72</v>
      </c>
    </row>
    <row r="15" spans="1:19" s="31" customFormat="1" outlineLevel="1">
      <c r="C15" s="31" t="s">
        <v>73</v>
      </c>
      <c r="D15" s="43">
        <v>100</v>
      </c>
      <c r="F15" s="33" t="s">
        <v>74</v>
      </c>
    </row>
    <row r="16" spans="1:19" s="31" customFormat="1" ht="18" outlineLevel="1">
      <c r="B16" s="34" t="s">
        <v>75</v>
      </c>
      <c r="F16" s="33"/>
    </row>
    <row r="17" spans="2:6" s="31" customFormat="1" ht="15.75" outlineLevel="1">
      <c r="C17" s="35"/>
    </row>
    <row r="18" spans="2:6" s="31" customFormat="1" ht="24" outlineLevel="1" thickBot="1">
      <c r="C18" s="31" t="s">
        <v>76</v>
      </c>
      <c r="D18" s="44" t="s">
        <v>77</v>
      </c>
    </row>
    <row r="19" spans="2:6" s="31" customFormat="1" ht="18" outlineLevel="1">
      <c r="C19" s="31" t="s">
        <v>78</v>
      </c>
      <c r="D19" s="45" t="s">
        <v>79</v>
      </c>
    </row>
    <row r="20" spans="2:6" s="31" customFormat="1" ht="15.75" outlineLevel="1">
      <c r="C20" s="31" t="s">
        <v>80</v>
      </c>
      <c r="D20" s="46" t="s">
        <v>81</v>
      </c>
    </row>
    <row r="21" spans="2:6" s="31" customFormat="1" ht="14.25" outlineLevel="1">
      <c r="C21" s="31" t="s">
        <v>82</v>
      </c>
      <c r="D21" s="47" t="s">
        <v>83</v>
      </c>
    </row>
    <row r="22" spans="2:6" s="31" customFormat="1" outlineLevel="1">
      <c r="C22" s="31" t="s">
        <v>84</v>
      </c>
      <c r="D22" s="48" t="s">
        <v>85</v>
      </c>
    </row>
    <row r="23" spans="2:6" s="31" customFormat="1" ht="27" outlineLevel="1" thickBot="1">
      <c r="C23" s="31" t="s">
        <v>86</v>
      </c>
      <c r="D23" s="49" t="s">
        <v>87</v>
      </c>
    </row>
    <row r="24" spans="2:6" s="31" customFormat="1" outlineLevel="1">
      <c r="C24" s="31" t="s">
        <v>88</v>
      </c>
      <c r="D24" s="50" t="s">
        <v>89</v>
      </c>
    </row>
    <row r="25" spans="2:6" s="31" customFormat="1" ht="18" outlineLevel="1">
      <c r="B25" s="34" t="s">
        <v>90</v>
      </c>
    </row>
    <row r="26" spans="2:6" s="31" customFormat="1" ht="15.75" outlineLevel="1">
      <c r="C26" s="35"/>
    </row>
    <row r="27" spans="2:6" s="31" customFormat="1" ht="15" outlineLevel="1">
      <c r="C27" s="31" t="s">
        <v>91</v>
      </c>
      <c r="D27" s="51" t="s">
        <v>92</v>
      </c>
    </row>
    <row r="28" spans="2:6" s="31" customFormat="1" outlineLevel="1">
      <c r="C28" s="31" t="s">
        <v>93</v>
      </c>
      <c r="D28" s="52" t="s">
        <v>94</v>
      </c>
    </row>
    <row r="29" spans="2:6" s="31" customFormat="1" ht="15" outlineLevel="1">
      <c r="C29" s="31" t="s">
        <v>95</v>
      </c>
      <c r="D29" s="53" t="s">
        <v>96</v>
      </c>
    </row>
    <row r="30" spans="2:6" s="31" customFormat="1" ht="15" outlineLevel="1">
      <c r="C30" s="31" t="s">
        <v>97</v>
      </c>
      <c r="D30" s="54" t="s">
        <v>98</v>
      </c>
    </row>
    <row r="31" spans="2:6" outlineLevel="1">
      <c r="C31" s="31" t="s">
        <v>99</v>
      </c>
      <c r="D31" s="55" t="s">
        <v>100</v>
      </c>
      <c r="E31" s="31"/>
      <c r="F31" s="31"/>
    </row>
    <row r="32" spans="2:6" outlineLevel="1">
      <c r="C32" s="30" t="s">
        <v>69</v>
      </c>
      <c r="D32" s="56" t="s">
        <v>101</v>
      </c>
    </row>
    <row r="33" spans="3:4" ht="15.75" outlineLevel="1" thickBot="1">
      <c r="C33" s="30" t="s">
        <v>102</v>
      </c>
      <c r="D33" s="57" t="s">
        <v>103</v>
      </c>
    </row>
    <row r="34" spans="3:4" ht="15.75" outlineLevel="1" thickTop="1">
      <c r="C34" s="58" t="s">
        <v>104</v>
      </c>
      <c r="D34" s="59" t="s">
        <v>105</v>
      </c>
    </row>
    <row r="35" spans="3:4" ht="15" outlineLevel="1">
      <c r="C35" s="30" t="s">
        <v>106</v>
      </c>
      <c r="D35" s="60" t="s">
        <v>107</v>
      </c>
    </row>
    <row r="36" spans="3:4" ht="15" outlineLevel="1">
      <c r="C36" s="30" t="s">
        <v>108</v>
      </c>
      <c r="D36" s="61" t="s">
        <v>109</v>
      </c>
    </row>
    <row r="37" spans="3:4" outlineLevel="1">
      <c r="C37" s="30" t="s">
        <v>110</v>
      </c>
      <c r="D37" s="52" t="s">
        <v>110</v>
      </c>
    </row>
    <row r="38" spans="3:4" ht="15">
      <c r="C38" s="30" t="s">
        <v>111</v>
      </c>
      <c r="D38" s="62" t="s">
        <v>112</v>
      </c>
    </row>
    <row r="39" spans="3:4" ht="15">
      <c r="C39" s="58" t="s">
        <v>113</v>
      </c>
      <c r="D39" s="63" t="s">
        <v>114</v>
      </c>
    </row>
    <row r="40" spans="3:4">
      <c r="C40" s="30" t="s">
        <v>115</v>
      </c>
      <c r="D40" s="64" t="s">
        <v>116</v>
      </c>
    </row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</sheetData>
  <mergeCells count="1">
    <mergeCell ref="C6:M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defaultColWidth="14.42578125" defaultRowHeight="15" customHeight="1"/>
  <sheetData>
    <row r="1" spans="1:3" ht="15" customHeight="1">
      <c r="A1" s="125" t="s">
        <v>117</v>
      </c>
      <c r="B1" s="126"/>
      <c r="C1" s="126"/>
    </row>
  </sheetData>
  <mergeCells count="1">
    <mergeCell ref="A1:C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workbookViewId="0"/>
  </sheetViews>
  <sheetFormatPr defaultColWidth="14.42578125" defaultRowHeight="15" customHeight="1"/>
  <cols>
    <col min="4" max="4" width="32.140625" customWidth="1"/>
    <col min="5" max="5" width="8" customWidth="1"/>
  </cols>
  <sheetData>
    <row r="1" spans="1:10" ht="15" customHeight="1">
      <c r="A1" s="125" t="s">
        <v>118</v>
      </c>
      <c r="B1" s="126"/>
      <c r="C1" s="126"/>
      <c r="D1" s="1"/>
      <c r="E1" s="2"/>
      <c r="F1" s="1"/>
      <c r="G1" s="1"/>
      <c r="H1" s="1"/>
      <c r="I1" s="1"/>
      <c r="J1" s="1"/>
    </row>
    <row r="2" spans="1:10">
      <c r="A2" s="3"/>
      <c r="B2" s="3"/>
      <c r="C2" s="3"/>
      <c r="D2" s="3"/>
      <c r="E2" s="3"/>
      <c r="F2" s="4">
        <v>2023</v>
      </c>
      <c r="G2" s="4">
        <v>2024</v>
      </c>
      <c r="H2" s="4">
        <v>2025</v>
      </c>
      <c r="I2" s="4">
        <v>2026</v>
      </c>
      <c r="J2" s="4">
        <v>2027</v>
      </c>
    </row>
    <row r="3" spans="1:10">
      <c r="A3" s="127" t="s">
        <v>119</v>
      </c>
      <c r="B3" s="128"/>
      <c r="C3" s="128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 t="s">
        <v>120</v>
      </c>
      <c r="D4" s="2"/>
      <c r="E4" s="5" t="s">
        <v>121</v>
      </c>
      <c r="F4" s="85"/>
      <c r="G4" s="85"/>
      <c r="H4" s="85"/>
      <c r="I4" s="85"/>
      <c r="J4" s="85"/>
    </row>
    <row r="5" spans="1:10">
      <c r="A5" s="2"/>
      <c r="B5" s="129" t="s">
        <v>122</v>
      </c>
      <c r="C5" s="128"/>
      <c r="D5" s="129"/>
      <c r="E5" s="128"/>
      <c r="F5" s="129"/>
      <c r="G5" s="128"/>
      <c r="H5" s="129"/>
      <c r="I5" s="128"/>
      <c r="J5" s="86"/>
    </row>
    <row r="6" spans="1:10">
      <c r="A6" s="2"/>
      <c r="B6" s="2"/>
      <c r="C6" s="2" t="s">
        <v>123</v>
      </c>
      <c r="D6" s="2"/>
      <c r="E6" s="5" t="s">
        <v>121</v>
      </c>
      <c r="F6" s="85"/>
      <c r="G6" s="85"/>
      <c r="H6" s="85"/>
      <c r="I6" s="85"/>
      <c r="J6" s="87"/>
    </row>
    <row r="7" spans="1:10">
      <c r="A7" s="2"/>
      <c r="B7" s="2"/>
      <c r="C7" s="2" t="s">
        <v>124</v>
      </c>
      <c r="D7" s="2"/>
      <c r="E7" s="5" t="s">
        <v>121</v>
      </c>
      <c r="F7" s="85"/>
      <c r="G7" s="85"/>
      <c r="H7" s="85"/>
      <c r="I7" s="85"/>
      <c r="J7" s="85"/>
    </row>
    <row r="8" spans="1:10">
      <c r="A8" s="2"/>
      <c r="B8" s="2"/>
      <c r="C8" s="2" t="s">
        <v>125</v>
      </c>
      <c r="D8" s="2"/>
      <c r="E8" s="5" t="s">
        <v>121</v>
      </c>
      <c r="F8" s="85"/>
      <c r="G8" s="85"/>
      <c r="H8" s="85"/>
      <c r="I8" s="85"/>
      <c r="J8" s="85"/>
    </row>
    <row r="9" spans="1:10">
      <c r="A9" s="2"/>
      <c r="B9" s="2"/>
      <c r="C9" s="2" t="s">
        <v>126</v>
      </c>
      <c r="D9" s="2"/>
      <c r="E9" s="5" t="s">
        <v>121</v>
      </c>
      <c r="F9" s="85"/>
      <c r="G9" s="85"/>
      <c r="H9" s="85"/>
      <c r="I9" s="85"/>
      <c r="J9" s="85"/>
    </row>
    <row r="10" spans="1:10">
      <c r="A10" s="2"/>
      <c r="B10" s="129" t="s">
        <v>127</v>
      </c>
      <c r="C10" s="128"/>
      <c r="D10" s="101"/>
      <c r="E10" s="6" t="s">
        <v>121</v>
      </c>
      <c r="F10" s="86"/>
      <c r="G10" s="86"/>
      <c r="H10" s="86"/>
      <c r="I10" s="86"/>
      <c r="J10" s="88"/>
    </row>
    <row r="11" spans="1:10">
      <c r="A11" s="130" t="s">
        <v>128</v>
      </c>
      <c r="B11" s="131"/>
      <c r="C11" s="131"/>
      <c r="D11" s="89"/>
      <c r="E11" s="7" t="s">
        <v>121</v>
      </c>
      <c r="F11" s="90"/>
      <c r="G11" s="90"/>
      <c r="H11" s="90"/>
      <c r="I11" s="90"/>
      <c r="J11" s="91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132" t="s">
        <v>129</v>
      </c>
      <c r="B13" s="133"/>
      <c r="C13" s="133"/>
      <c r="D13" s="2"/>
      <c r="E13" s="2"/>
      <c r="F13" s="2"/>
      <c r="G13" s="2"/>
      <c r="H13" s="2"/>
      <c r="I13" s="2"/>
      <c r="J13" s="2"/>
    </row>
    <row r="14" spans="1:10">
      <c r="A14" s="2"/>
      <c r="B14" s="129" t="s">
        <v>130</v>
      </c>
      <c r="C14" s="128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 t="s">
        <v>131</v>
      </c>
      <c r="D15" s="2"/>
      <c r="E15" s="5" t="s">
        <v>121</v>
      </c>
      <c r="F15" s="85"/>
      <c r="G15" s="85"/>
      <c r="H15" s="85"/>
      <c r="I15" s="85"/>
      <c r="J15" s="85"/>
    </row>
    <row r="16" spans="1:10">
      <c r="A16" s="2"/>
      <c r="B16" s="2"/>
      <c r="C16" s="2" t="s">
        <v>132</v>
      </c>
      <c r="D16" s="2"/>
      <c r="E16" s="5" t="s">
        <v>121</v>
      </c>
      <c r="F16" s="85"/>
      <c r="G16" s="85"/>
      <c r="H16" s="85"/>
      <c r="I16" s="85"/>
      <c r="J16" s="85"/>
    </row>
    <row r="17" spans="1:10">
      <c r="A17" s="2"/>
      <c r="B17" s="2"/>
      <c r="C17" s="2" t="s">
        <v>133</v>
      </c>
      <c r="D17" s="2"/>
      <c r="E17" s="5" t="s">
        <v>121</v>
      </c>
      <c r="F17" s="8"/>
      <c r="G17" s="8"/>
      <c r="H17" s="85"/>
      <c r="I17" s="85"/>
      <c r="J17" s="85"/>
    </row>
    <row r="18" spans="1:10">
      <c r="A18" s="2"/>
      <c r="B18" s="129" t="s">
        <v>134</v>
      </c>
      <c r="C18" s="128"/>
      <c r="D18" s="101"/>
      <c r="E18" s="6" t="s">
        <v>121</v>
      </c>
      <c r="F18" s="86"/>
      <c r="G18" s="86"/>
      <c r="H18" s="86"/>
      <c r="I18" s="86"/>
      <c r="J18" s="88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134" t="s">
        <v>135</v>
      </c>
      <c r="C20" s="133"/>
      <c r="D20" s="86"/>
      <c r="E20" s="86"/>
      <c r="F20" s="86"/>
      <c r="G20" s="86"/>
      <c r="H20" s="86"/>
      <c r="I20" s="86"/>
      <c r="J20" s="86"/>
    </row>
    <row r="21" spans="1:10">
      <c r="A21" s="2"/>
      <c r="B21" s="2"/>
      <c r="C21" s="2" t="s">
        <v>136</v>
      </c>
      <c r="D21" s="2"/>
      <c r="E21" s="5" t="s">
        <v>121</v>
      </c>
      <c r="F21" s="85"/>
      <c r="G21" s="85"/>
      <c r="H21" s="85"/>
      <c r="I21" s="85"/>
      <c r="J21" s="85"/>
    </row>
    <row r="22" spans="1:10">
      <c r="A22" s="2"/>
      <c r="B22" s="2"/>
      <c r="C22" s="2" t="s">
        <v>137</v>
      </c>
      <c r="D22" s="2"/>
      <c r="E22" s="5" t="s">
        <v>121</v>
      </c>
      <c r="F22" s="85"/>
      <c r="G22" s="85"/>
      <c r="H22" s="85"/>
      <c r="I22" s="85"/>
      <c r="J22" s="8"/>
    </row>
    <row r="23" spans="1:10">
      <c r="A23" s="2"/>
      <c r="B23" s="129" t="s">
        <v>138</v>
      </c>
      <c r="C23" s="128"/>
      <c r="D23" s="101"/>
      <c r="E23" s="6" t="s">
        <v>121</v>
      </c>
      <c r="F23" s="86"/>
      <c r="G23" s="86"/>
      <c r="H23" s="86"/>
      <c r="I23" s="86"/>
      <c r="J23" s="86"/>
    </row>
    <row r="24" spans="1:10">
      <c r="A24" s="130" t="s">
        <v>139</v>
      </c>
      <c r="B24" s="131"/>
      <c r="C24" s="131"/>
      <c r="D24" s="89"/>
      <c r="E24" s="7" t="s">
        <v>121</v>
      </c>
      <c r="F24" s="90"/>
      <c r="G24" s="90"/>
      <c r="H24" s="90"/>
      <c r="I24" s="90"/>
      <c r="J24" s="91"/>
    </row>
  </sheetData>
  <mergeCells count="14">
    <mergeCell ref="D5:E5"/>
    <mergeCell ref="F5:G5"/>
    <mergeCell ref="H5:I5"/>
    <mergeCell ref="B10:C10"/>
    <mergeCell ref="B23:C23"/>
    <mergeCell ref="A24:C24"/>
    <mergeCell ref="A1:C1"/>
    <mergeCell ref="A3:C3"/>
    <mergeCell ref="B5:C5"/>
    <mergeCell ref="A11:C11"/>
    <mergeCell ref="A13:C13"/>
    <mergeCell ref="B14:C14"/>
    <mergeCell ref="B18:C18"/>
    <mergeCell ref="B20:C20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Bernhard Wach</dc:creator>
  <cp:keywords/>
  <dc:description/>
  <cp:lastModifiedBy/>
  <cp:revision/>
  <dcterms:created xsi:type="dcterms:W3CDTF">2023-05-10T20:57:12Z</dcterms:created>
  <dcterms:modified xsi:type="dcterms:W3CDTF">2025-06-23T19:20:02Z</dcterms:modified>
  <cp:category/>
  <cp:contentStatus/>
</cp:coreProperties>
</file>